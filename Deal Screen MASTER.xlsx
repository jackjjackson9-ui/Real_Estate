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y Drive\"/>
    </mc:Choice>
  </mc:AlternateContent>
  <xr:revisionPtr revIDLastSave="0" documentId="13_ncr:1_{2CC997D1-5B29-464D-9F85-864FCB6E7300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Alyssa Screening" sheetId="20" r:id="rId1"/>
    <sheet name="Sources" sheetId="21" r:id="rId2"/>
    <sheet name="Mortgage and Ammortization" sheetId="2" r:id="rId3"/>
    <sheet name="Deal Screen Template" sheetId="17" state="hidden" r:id="rId4"/>
    <sheet name="Total Returns" sheetId="19" state="hidden" r:id="rId5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'Alyssa Screening'!$C$3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21" l="1"/>
  <c r="L4" i="20"/>
  <c r="F12" i="20"/>
  <c r="F13" i="20" s="1"/>
  <c r="F16" i="20" s="1"/>
  <c r="F15" i="20" s="1"/>
  <c r="E6" i="21"/>
  <c r="F7" i="21"/>
  <c r="E7" i="21"/>
  <c r="C9" i="21"/>
  <c r="C13" i="21" s="1"/>
  <c r="C15" i="21" s="1"/>
  <c r="B1" i="2"/>
  <c r="C14" i="20"/>
  <c r="C15" i="20" s="1"/>
  <c r="L5" i="20" s="1"/>
  <c r="C5" i="20"/>
  <c r="B2" i="2" s="1"/>
  <c r="F6" i="21" l="1"/>
  <c r="C17" i="20"/>
  <c r="C18" i="20"/>
  <c r="C19" i="20" s="1"/>
  <c r="C17" i="17"/>
  <c r="A5" i="17" l="1"/>
  <c r="C5" i="17" s="1"/>
  <c r="F15" i="19" l="1"/>
  <c r="F9" i="19" l="1"/>
  <c r="F4" i="19"/>
  <c r="G1" i="19"/>
  <c r="H1" i="19" s="1"/>
  <c r="I1" i="19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D7" i="2"/>
  <c r="G4" i="19" l="1"/>
  <c r="J1" i="19"/>
  <c r="F2" i="19"/>
  <c r="D8" i="2"/>
  <c r="G2" i="19" l="1"/>
  <c r="H2" i="19" s="1"/>
  <c r="H4" i="19"/>
  <c r="I4" i="19" s="1"/>
  <c r="J4" i="19" s="1"/>
  <c r="K4" i="19" s="1"/>
  <c r="L4" i="19" s="1"/>
  <c r="K1" i="19"/>
  <c r="L1" i="19" s="1"/>
  <c r="M1" i="19" s="1"/>
  <c r="N1" i="19" s="1"/>
  <c r="O1" i="19" s="1"/>
  <c r="P1" i="19" s="1"/>
  <c r="D9" i="2"/>
  <c r="I2" i="19" l="1"/>
  <c r="M4" i="19"/>
  <c r="Q1" i="19"/>
  <c r="R1" i="19" s="1"/>
  <c r="S1" i="19" s="1"/>
  <c r="D10" i="2"/>
  <c r="S19" i="19" l="1"/>
  <c r="T1" i="19"/>
  <c r="J2" i="19"/>
  <c r="N4" i="19"/>
  <c r="D11" i="2"/>
  <c r="T19" i="19" l="1"/>
  <c r="U1" i="19"/>
  <c r="K2" i="19"/>
  <c r="O4" i="19"/>
  <c r="D12" i="2"/>
  <c r="U19" i="19" l="1"/>
  <c r="V1" i="19"/>
  <c r="L2" i="19"/>
  <c r="P4" i="19"/>
  <c r="D13" i="2"/>
  <c r="V19" i="19" l="1"/>
  <c r="W1" i="19"/>
  <c r="M2" i="19"/>
  <c r="Q4" i="19"/>
  <c r="D14" i="2"/>
  <c r="W19" i="19" l="1"/>
  <c r="X1" i="19"/>
  <c r="N2" i="19"/>
  <c r="R4" i="19"/>
  <c r="S4" i="19" s="1"/>
  <c r="D15" i="2"/>
  <c r="X19" i="19" l="1"/>
  <c r="Y1" i="19"/>
  <c r="T4" i="19"/>
  <c r="O2" i="19"/>
  <c r="D16" i="2"/>
  <c r="Y19" i="19" l="1"/>
  <c r="Z1" i="19"/>
  <c r="U4" i="19"/>
  <c r="P2" i="19"/>
  <c r="D17" i="2"/>
  <c r="Z19" i="19" l="1"/>
  <c r="AA1" i="19"/>
  <c r="V4" i="19"/>
  <c r="Q2" i="19"/>
  <c r="D18" i="2"/>
  <c r="AA19" i="19" l="1"/>
  <c r="AB1" i="19"/>
  <c r="W4" i="19"/>
  <c r="R2" i="19"/>
  <c r="D19" i="2"/>
  <c r="AB19" i="19" l="1"/>
  <c r="AC1" i="19"/>
  <c r="X4" i="19"/>
  <c r="S2" i="19"/>
  <c r="T2" i="19" s="1"/>
  <c r="U2" i="19" s="1"/>
  <c r="V2" i="19" s="1"/>
  <c r="W2" i="19" s="1"/>
  <c r="X2" i="19" s="1"/>
  <c r="Y2" i="19" s="1"/>
  <c r="Z2" i="19" s="1"/>
  <c r="AA2" i="19" s="1"/>
  <c r="AB2" i="19" s="1"/>
  <c r="AC2" i="19" s="1"/>
  <c r="AD2" i="19" s="1"/>
  <c r="AE2" i="19" s="1"/>
  <c r="AF2" i="19" s="1"/>
  <c r="AG2" i="19" s="1"/>
  <c r="AH2" i="19" s="1"/>
  <c r="AI2" i="19" s="1"/>
  <c r="AJ2" i="19" s="1"/>
  <c r="AK2" i="19" s="1"/>
  <c r="AL2" i="19" s="1"/>
  <c r="AM2" i="19" s="1"/>
  <c r="AN2" i="19" s="1"/>
  <c r="AO2" i="19" s="1"/>
  <c r="AP2" i="19" s="1"/>
  <c r="AQ2" i="19" s="1"/>
  <c r="AR2" i="19" s="1"/>
  <c r="AS2" i="19" s="1"/>
  <c r="AT2" i="19" s="1"/>
  <c r="AU2" i="19" s="1"/>
  <c r="AV2" i="19" s="1"/>
  <c r="AW2" i="19" s="1"/>
  <c r="AX2" i="19" s="1"/>
  <c r="AY2" i="19" s="1"/>
  <c r="AZ2" i="19" s="1"/>
  <c r="BA2" i="19" s="1"/>
  <c r="BB2" i="19" s="1"/>
  <c r="BC2" i="19" s="1"/>
  <c r="BD2" i="19" s="1"/>
  <c r="BE2" i="19" s="1"/>
  <c r="BF2" i="19" s="1"/>
  <c r="BG2" i="19" s="1"/>
  <c r="BH2" i="19" s="1"/>
  <c r="BI2" i="19" s="1"/>
  <c r="BJ2" i="19" s="1"/>
  <c r="BK2" i="19" s="1"/>
  <c r="BL2" i="19" s="1"/>
  <c r="BM2" i="19" s="1"/>
  <c r="BN2" i="19" s="1"/>
  <c r="D20" i="2"/>
  <c r="AC19" i="19" l="1"/>
  <c r="AD1" i="19"/>
  <c r="BO2" i="19"/>
  <c r="BP2" i="19" s="1"/>
  <c r="BQ2" i="19" s="1"/>
  <c r="BR2" i="19" s="1"/>
  <c r="BS2" i="19" s="1"/>
  <c r="BT2" i="19" s="1"/>
  <c r="BU2" i="19" s="1"/>
  <c r="BV2" i="19" s="1"/>
  <c r="BW2" i="19" s="1"/>
  <c r="BX2" i="19" s="1"/>
  <c r="BY2" i="19" s="1"/>
  <c r="BZ2" i="19" s="1"/>
  <c r="CA2" i="19" s="1"/>
  <c r="CB2" i="19" s="1"/>
  <c r="CC2" i="19" s="1"/>
  <c r="CD2" i="19" s="1"/>
  <c r="CE2" i="19" s="1"/>
  <c r="CF2" i="19" s="1"/>
  <c r="CG2" i="19" s="1"/>
  <c r="CH2" i="19" s="1"/>
  <c r="CI2" i="19" s="1"/>
  <c r="CJ2" i="19" s="1"/>
  <c r="CK2" i="19" s="1"/>
  <c r="CL2" i="19" s="1"/>
  <c r="Y4" i="19"/>
  <c r="D21" i="2"/>
  <c r="AD19" i="19" l="1"/>
  <c r="AE1" i="19"/>
  <c r="CM2" i="19"/>
  <c r="CN2" i="19" s="1"/>
  <c r="CO2" i="19" s="1"/>
  <c r="CP2" i="19" s="1"/>
  <c r="CQ2" i="19" s="1"/>
  <c r="CR2" i="19" s="1"/>
  <c r="CS2" i="19" s="1"/>
  <c r="CT2" i="19" s="1"/>
  <c r="CU2" i="19" s="1"/>
  <c r="CV2" i="19" s="1"/>
  <c r="CW2" i="19" s="1"/>
  <c r="CX2" i="19" s="1"/>
  <c r="CY2" i="19" s="1"/>
  <c r="CZ2" i="19" s="1"/>
  <c r="DA2" i="19" s="1"/>
  <c r="DB2" i="19" s="1"/>
  <c r="DC2" i="19" s="1"/>
  <c r="DD2" i="19" s="1"/>
  <c r="DE2" i="19" s="1"/>
  <c r="DF2" i="19" s="1"/>
  <c r="DG2" i="19" s="1"/>
  <c r="DH2" i="19" s="1"/>
  <c r="DI2" i="19" s="1"/>
  <c r="DJ2" i="19" s="1"/>
  <c r="DK2" i="19" s="1"/>
  <c r="DL2" i="19" s="1"/>
  <c r="DM2" i="19" s="1"/>
  <c r="DN2" i="19" s="1"/>
  <c r="DO2" i="19" s="1"/>
  <c r="DP2" i="19" s="1"/>
  <c r="DQ2" i="19" s="1"/>
  <c r="DR2" i="19" s="1"/>
  <c r="DS2" i="19" s="1"/>
  <c r="DT2" i="19" s="1"/>
  <c r="DU2" i="19" s="1"/>
  <c r="DV2" i="19" s="1"/>
  <c r="Z4" i="19"/>
  <c r="D22" i="2"/>
  <c r="AE19" i="19" l="1"/>
  <c r="AF1" i="19"/>
  <c r="AA4" i="19"/>
  <c r="D23" i="2"/>
  <c r="AF19" i="19" l="1"/>
  <c r="AG1" i="19"/>
  <c r="AB4" i="19"/>
  <c r="D24" i="2"/>
  <c r="AG19" i="19" l="1"/>
  <c r="AH1" i="19"/>
  <c r="AC4" i="19"/>
  <c r="D25" i="2"/>
  <c r="AH19" i="19" l="1"/>
  <c r="AI1" i="19"/>
  <c r="AD4" i="19"/>
  <c r="D26" i="2"/>
  <c r="AI19" i="19" l="1"/>
  <c r="AJ1" i="19"/>
  <c r="AE4" i="19"/>
  <c r="D27" i="2"/>
  <c r="AJ19" i="19" l="1"/>
  <c r="AK1" i="19"/>
  <c r="AF4" i="19"/>
  <c r="D28" i="2"/>
  <c r="AK19" i="19" l="1"/>
  <c r="AL1" i="19"/>
  <c r="AG4" i="19"/>
  <c r="D29" i="2"/>
  <c r="AL19" i="19" l="1"/>
  <c r="AM1" i="19"/>
  <c r="AH4" i="19"/>
  <c r="D30" i="2"/>
  <c r="AM19" i="19" l="1"/>
  <c r="AN1" i="19"/>
  <c r="AI4" i="19"/>
  <c r="D31" i="2"/>
  <c r="AN19" i="19" l="1"/>
  <c r="AO1" i="19"/>
  <c r="AJ4" i="19"/>
  <c r="D32" i="2"/>
  <c r="AO19" i="19" l="1"/>
  <c r="AP1" i="19"/>
  <c r="AK4" i="19"/>
  <c r="D33" i="2"/>
  <c r="AQ1" i="19" l="1"/>
  <c r="AP19" i="19"/>
  <c r="AL4" i="19"/>
  <c r="D34" i="2"/>
  <c r="AR1" i="19" l="1"/>
  <c r="AQ19" i="19"/>
  <c r="AQ20" i="19"/>
  <c r="AM4" i="19"/>
  <c r="D35" i="2"/>
  <c r="AS1" i="19" l="1"/>
  <c r="AR20" i="19"/>
  <c r="AR19" i="19"/>
  <c r="AN4" i="19"/>
  <c r="D36" i="2"/>
  <c r="AS19" i="19" l="1"/>
  <c r="AT1" i="19"/>
  <c r="AS20" i="19"/>
  <c r="AO4" i="19"/>
  <c r="D37" i="2"/>
  <c r="AT20" i="19" l="1"/>
  <c r="AT19" i="19"/>
  <c r="AU1" i="19"/>
  <c r="AP4" i="19"/>
  <c r="AQ4" i="19" s="1"/>
  <c r="D38" i="2"/>
  <c r="AV1" i="19" l="1"/>
  <c r="AU20" i="19"/>
  <c r="AU19" i="19"/>
  <c r="AR4" i="19"/>
  <c r="D39" i="2"/>
  <c r="AW1" i="19" l="1"/>
  <c r="AV20" i="19"/>
  <c r="AV19" i="19"/>
  <c r="AS4" i="19"/>
  <c r="D40" i="2"/>
  <c r="AX1" i="19" l="1"/>
  <c r="AW20" i="19"/>
  <c r="AW19" i="19"/>
  <c r="AT4" i="19"/>
  <c r="D41" i="2"/>
  <c r="AX20" i="19" l="1"/>
  <c r="AX19" i="19"/>
  <c r="AY1" i="19"/>
  <c r="AU4" i="19"/>
  <c r="D42" i="2"/>
  <c r="AY19" i="19" l="1"/>
  <c r="AZ1" i="19"/>
  <c r="AY20" i="19"/>
  <c r="AV4" i="19"/>
  <c r="D43" i="2"/>
  <c r="BA1" i="19" l="1"/>
  <c r="AZ20" i="19"/>
  <c r="AZ19" i="19"/>
  <c r="AW4" i="19"/>
  <c r="D44" i="2"/>
  <c r="BB1" i="19" l="1"/>
  <c r="BA20" i="19"/>
  <c r="BA19" i="19"/>
  <c r="AX4" i="19"/>
  <c r="D45" i="2"/>
  <c r="BB20" i="19" l="1"/>
  <c r="BB19" i="19"/>
  <c r="BC1" i="19"/>
  <c r="AY4" i="19"/>
  <c r="D46" i="2"/>
  <c r="BD1" i="19" l="1"/>
  <c r="BC20" i="19"/>
  <c r="BC19" i="19"/>
  <c r="AZ4" i="19"/>
  <c r="D47" i="2"/>
  <c r="BE1" i="19" l="1"/>
  <c r="BD20" i="19"/>
  <c r="BD19" i="19"/>
  <c r="BA4" i="19"/>
  <c r="D48" i="2"/>
  <c r="BF1" i="19" l="1"/>
  <c r="BE20" i="19"/>
  <c r="BE19" i="19"/>
  <c r="BB4" i="19"/>
  <c r="D49" i="2"/>
  <c r="BG1" i="19" l="1"/>
  <c r="BF20" i="19"/>
  <c r="BF19" i="19"/>
  <c r="BC4" i="19"/>
  <c r="D50" i="2"/>
  <c r="BH1" i="19" l="1"/>
  <c r="BG20" i="19"/>
  <c r="BG19" i="19"/>
  <c r="BD4" i="19"/>
  <c r="D51" i="2"/>
  <c r="BI1" i="19" l="1"/>
  <c r="BH19" i="19"/>
  <c r="BH20" i="19"/>
  <c r="BE4" i="19"/>
  <c r="D52" i="2"/>
  <c r="BI19" i="19" l="1"/>
  <c r="BI20" i="19"/>
  <c r="BJ1" i="19"/>
  <c r="BF4" i="19"/>
  <c r="D53" i="2"/>
  <c r="BJ19" i="19" l="1"/>
  <c r="BK1" i="19"/>
  <c r="BJ20" i="19"/>
  <c r="BG4" i="19"/>
  <c r="D54" i="2"/>
  <c r="BL1" i="19" l="1"/>
  <c r="BK19" i="19"/>
  <c r="BK20" i="19"/>
  <c r="BH4" i="19"/>
  <c r="D55" i="2"/>
  <c r="BL20" i="19" l="1"/>
  <c r="BL19" i="19"/>
  <c r="BM1" i="19"/>
  <c r="BI4" i="19"/>
  <c r="D56" i="2"/>
  <c r="BN1" i="19" l="1"/>
  <c r="BM20" i="19"/>
  <c r="BM19" i="19"/>
  <c r="BJ4" i="19"/>
  <c r="D57" i="2"/>
  <c r="BN19" i="19" l="1"/>
  <c r="BN20" i="19"/>
  <c r="BO1" i="19"/>
  <c r="BK4" i="19"/>
  <c r="D58" i="2"/>
  <c r="BP1" i="19" l="1"/>
  <c r="BO19" i="19"/>
  <c r="BO20" i="19"/>
  <c r="BO21" i="19"/>
  <c r="BL4" i="19"/>
  <c r="D59" i="2"/>
  <c r="BP21" i="19" l="1"/>
  <c r="BQ1" i="19"/>
  <c r="BP19" i="19"/>
  <c r="BP20" i="19"/>
  <c r="BM4" i="19"/>
  <c r="D60" i="2"/>
  <c r="BQ20" i="19" l="1"/>
  <c r="BQ19" i="19"/>
  <c r="BR1" i="19"/>
  <c r="BQ21" i="19"/>
  <c r="BN4" i="19"/>
  <c r="D61" i="2"/>
  <c r="BR21" i="19" l="1"/>
  <c r="BR20" i="19"/>
  <c r="BR19" i="19"/>
  <c r="BS1" i="19"/>
  <c r="BO4" i="19"/>
  <c r="D62" i="2"/>
  <c r="BT1" i="19" l="1"/>
  <c r="BS21" i="19"/>
  <c r="BS20" i="19"/>
  <c r="BS19" i="19"/>
  <c r="BP4" i="19"/>
  <c r="D63" i="2"/>
  <c r="BT19" i="19" l="1"/>
  <c r="BT21" i="19"/>
  <c r="BT20" i="19"/>
  <c r="BU1" i="19"/>
  <c r="BQ4" i="19"/>
  <c r="D64" i="2"/>
  <c r="BU21" i="19" l="1"/>
  <c r="BU20" i="19"/>
  <c r="BV1" i="19"/>
  <c r="BU19" i="19"/>
  <c r="BR4" i="19"/>
  <c r="D65" i="2"/>
  <c r="BV21" i="19" l="1"/>
  <c r="BV20" i="19"/>
  <c r="BV19" i="19"/>
  <c r="BW1" i="19"/>
  <c r="BS4" i="19"/>
  <c r="D66" i="2"/>
  <c r="BX1" i="19" l="1"/>
  <c r="BW21" i="19"/>
  <c r="BW20" i="19"/>
  <c r="BW19" i="19"/>
  <c r="BT4" i="19"/>
  <c r="D67" i="2"/>
  <c r="BY1" i="19" l="1"/>
  <c r="BX19" i="19"/>
  <c r="BX21" i="19"/>
  <c r="BX20" i="19"/>
  <c r="BU4" i="19"/>
  <c r="D68" i="2"/>
  <c r="BY20" i="19" l="1"/>
  <c r="BY19" i="19"/>
  <c r="BZ1" i="19"/>
  <c r="BY21" i="19"/>
  <c r="BV4" i="19"/>
  <c r="D69" i="2"/>
  <c r="BZ21" i="19" l="1"/>
  <c r="BZ20" i="19"/>
  <c r="BZ19" i="19"/>
  <c r="CA1" i="19"/>
  <c r="BW4" i="19"/>
  <c r="D70" i="2"/>
  <c r="CB1" i="19" l="1"/>
  <c r="CA21" i="19"/>
  <c r="CA20" i="19"/>
  <c r="CA19" i="19"/>
  <c r="BX4" i="19"/>
  <c r="D71" i="2"/>
  <c r="CC1" i="19" l="1"/>
  <c r="CB19" i="19"/>
  <c r="CB21" i="19"/>
  <c r="CB20" i="19"/>
  <c r="BY4" i="19"/>
  <c r="D72" i="2"/>
  <c r="CC20" i="19" l="1"/>
  <c r="CD1" i="19"/>
  <c r="CC19" i="19"/>
  <c r="CC21" i="19"/>
  <c r="BZ4" i="19"/>
  <c r="D73" i="2"/>
  <c r="CD19" i="19" l="1"/>
  <c r="CE1" i="19"/>
  <c r="CD21" i="19"/>
  <c r="CD20" i="19"/>
  <c r="CA4" i="19"/>
  <c r="D74" i="2"/>
  <c r="CF1" i="19" l="1"/>
  <c r="CE21" i="19"/>
  <c r="CE20" i="19"/>
  <c r="CE19" i="19"/>
  <c r="CB4" i="19"/>
  <c r="D75" i="2"/>
  <c r="CG1" i="19" l="1"/>
  <c r="CF19" i="19"/>
  <c r="CF21" i="19"/>
  <c r="CF20" i="19"/>
  <c r="CC4" i="19"/>
  <c r="D76" i="2"/>
  <c r="CH1" i="19" l="1"/>
  <c r="CG20" i="19"/>
  <c r="CG19" i="19"/>
  <c r="CG21" i="19"/>
  <c r="CD4" i="19"/>
  <c r="D77" i="2"/>
  <c r="CH19" i="19" l="1"/>
  <c r="CH21" i="19"/>
  <c r="CH20" i="19"/>
  <c r="CI1" i="19"/>
  <c r="CE4" i="19"/>
  <c r="D78" i="2"/>
  <c r="CI20" i="19" l="1"/>
  <c r="CJ1" i="19"/>
  <c r="CI21" i="19"/>
  <c r="CI19" i="19"/>
  <c r="CF4" i="19"/>
  <c r="D79" i="2"/>
  <c r="CJ21" i="19" l="1"/>
  <c r="CJ19" i="19"/>
  <c r="CK1" i="19"/>
  <c r="CJ20" i="19"/>
  <c r="CG4" i="19"/>
  <c r="D80" i="2"/>
  <c r="CL1" i="19" l="1"/>
  <c r="CK20" i="19"/>
  <c r="CK19" i="19"/>
  <c r="CK21" i="19"/>
  <c r="CH4" i="19"/>
  <c r="D81" i="2"/>
  <c r="CL19" i="19" l="1"/>
  <c r="CL20" i="19"/>
  <c r="CL21" i="19"/>
  <c r="CM1" i="19"/>
  <c r="CI4" i="19"/>
  <c r="D82" i="2"/>
  <c r="CN1" i="19" l="1"/>
  <c r="CM21" i="19"/>
  <c r="CM19" i="19"/>
  <c r="CM22" i="19"/>
  <c r="CM20" i="19"/>
  <c r="CJ4" i="19"/>
  <c r="D83" i="2"/>
  <c r="CN22" i="19" l="1"/>
  <c r="CN21" i="19"/>
  <c r="CN19" i="19"/>
  <c r="CN20" i="19"/>
  <c r="CO1" i="19"/>
  <c r="CK4" i="19"/>
  <c r="D84" i="2"/>
  <c r="CP1" i="19" l="1"/>
  <c r="CO19" i="19"/>
  <c r="CO20" i="19"/>
  <c r="CO22" i="19"/>
  <c r="CO21" i="19"/>
  <c r="CL4" i="19"/>
  <c r="D85" i="2"/>
  <c r="CP20" i="19" l="1"/>
  <c r="CP19" i="19"/>
  <c r="CQ1" i="19"/>
  <c r="CP21" i="19"/>
  <c r="CP22" i="19"/>
  <c r="CM4" i="19"/>
  <c r="D86" i="2"/>
  <c r="CQ21" i="19" l="1"/>
  <c r="CR1" i="19"/>
  <c r="CQ19" i="19"/>
  <c r="CQ22" i="19"/>
  <c r="CQ20" i="19"/>
  <c r="CN4" i="19"/>
  <c r="D87" i="2"/>
  <c r="CR19" i="19" l="1"/>
  <c r="CR20" i="19"/>
  <c r="CR22" i="19"/>
  <c r="CR21" i="19"/>
  <c r="CS1" i="19"/>
  <c r="CO4" i="19"/>
  <c r="D88" i="2"/>
  <c r="CS21" i="19" l="1"/>
  <c r="CS19" i="19"/>
  <c r="CS20" i="19"/>
  <c r="CT1" i="19"/>
  <c r="CS22" i="19"/>
  <c r="CP4" i="19"/>
  <c r="D89" i="2"/>
  <c r="CT22" i="19" l="1"/>
  <c r="CT19" i="19"/>
  <c r="CU1" i="19"/>
  <c r="CT21" i="19"/>
  <c r="CT20" i="19"/>
  <c r="CQ4" i="19"/>
  <c r="D90" i="2"/>
  <c r="CU19" i="19" l="1"/>
  <c r="CU22" i="19"/>
  <c r="CU21" i="19"/>
  <c r="CU20" i="19"/>
  <c r="CV1" i="19"/>
  <c r="CR4" i="19"/>
  <c r="D91" i="2"/>
  <c r="CV22" i="19" l="1"/>
  <c r="CV19" i="19"/>
  <c r="CV20" i="19"/>
  <c r="CV21" i="19"/>
  <c r="CW1" i="19"/>
  <c r="CS4" i="19"/>
  <c r="D92" i="2"/>
  <c r="CX1" i="19" l="1"/>
  <c r="CW20" i="19"/>
  <c r="CW19" i="19"/>
  <c r="CW22" i="19"/>
  <c r="CW21" i="19"/>
  <c r="CT4" i="19"/>
  <c r="D93" i="2"/>
  <c r="CX19" i="19" l="1"/>
  <c r="CX20" i="19"/>
  <c r="CY1" i="19"/>
  <c r="CX21" i="19"/>
  <c r="CX22" i="19"/>
  <c r="CU4" i="19"/>
  <c r="D94" i="2"/>
  <c r="CY21" i="19" l="1"/>
  <c r="CZ1" i="19"/>
  <c r="CY19" i="19"/>
  <c r="CY22" i="19"/>
  <c r="CY20" i="19"/>
  <c r="CV4" i="19"/>
  <c r="D95" i="2"/>
  <c r="CZ19" i="19" l="1"/>
  <c r="CZ22" i="19"/>
  <c r="CZ20" i="19"/>
  <c r="CZ21" i="19"/>
  <c r="DA1" i="19"/>
  <c r="CW4" i="19"/>
  <c r="D96" i="2"/>
  <c r="DA21" i="19" l="1"/>
  <c r="DA20" i="19"/>
  <c r="DA22" i="19"/>
  <c r="DB1" i="19"/>
  <c r="DA19" i="19"/>
  <c r="CX4" i="19"/>
  <c r="D97" i="2"/>
  <c r="DC1" i="19" l="1"/>
  <c r="DB21" i="19"/>
  <c r="DB19" i="19"/>
  <c r="DB22" i="19"/>
  <c r="DB20" i="19"/>
  <c r="CY4" i="19"/>
  <c r="D98" i="2"/>
  <c r="DC21" i="19" l="1"/>
  <c r="DC20" i="19"/>
  <c r="DC19" i="19"/>
  <c r="DC22" i="19"/>
  <c r="DD1" i="19"/>
  <c r="CZ4" i="19"/>
  <c r="D99" i="2"/>
  <c r="DD20" i="19" l="1"/>
  <c r="DD22" i="19"/>
  <c r="DD19" i="19"/>
  <c r="DD21" i="19"/>
  <c r="DE1" i="19"/>
  <c r="DA4" i="19"/>
  <c r="D100" i="2"/>
  <c r="DE20" i="19" l="1"/>
  <c r="DE22" i="19"/>
  <c r="DF1" i="19"/>
  <c r="DE19" i="19"/>
  <c r="DE21" i="19"/>
  <c r="DB4" i="19"/>
  <c r="D101" i="2"/>
  <c r="DG1" i="19" l="1"/>
  <c r="DF21" i="19"/>
  <c r="DF19" i="19"/>
  <c r="DF20" i="19"/>
  <c r="DF22" i="19"/>
  <c r="DC4" i="19"/>
  <c r="D102" i="2"/>
  <c r="DG19" i="19" l="1"/>
  <c r="DG22" i="19"/>
  <c r="DG21" i="19"/>
  <c r="DH1" i="19"/>
  <c r="DG20" i="19"/>
  <c r="DD4" i="19"/>
  <c r="D103" i="2"/>
  <c r="DH20" i="19" l="1"/>
  <c r="DH21" i="19"/>
  <c r="DH19" i="19"/>
  <c r="DH22" i="19"/>
  <c r="DI1" i="19"/>
  <c r="DE4" i="19"/>
  <c r="D104" i="2"/>
  <c r="DJ1" i="19" l="1"/>
  <c r="DI20" i="19"/>
  <c r="DI21" i="19"/>
  <c r="DI19" i="19"/>
  <c r="DI22" i="19"/>
  <c r="DF4" i="19"/>
  <c r="D105" i="2"/>
  <c r="DK1" i="19" l="1"/>
  <c r="DJ21" i="19"/>
  <c r="DJ20" i="19"/>
  <c r="DJ22" i="19"/>
  <c r="DJ19" i="19"/>
  <c r="DG4" i="19"/>
  <c r="D106" i="2"/>
  <c r="DL1" i="19" l="1"/>
  <c r="DK21" i="19"/>
  <c r="DK20" i="19"/>
  <c r="DK19" i="19"/>
  <c r="DK22" i="19"/>
  <c r="DH4" i="19"/>
  <c r="D107" i="2"/>
  <c r="DL20" i="19" l="1"/>
  <c r="DM1" i="19"/>
  <c r="DL22" i="19"/>
  <c r="DL21" i="19"/>
  <c r="DL19" i="19"/>
  <c r="DI4" i="19"/>
  <c r="D108" i="2"/>
  <c r="DM21" i="19" l="1"/>
  <c r="DN1" i="19"/>
  <c r="DM20" i="19"/>
  <c r="DM19" i="19"/>
  <c r="DM22" i="19"/>
  <c r="DJ4" i="19"/>
  <c r="D109" i="2"/>
  <c r="DN20" i="19" l="1"/>
  <c r="DN19" i="19"/>
  <c r="DO1" i="19"/>
  <c r="DN21" i="19"/>
  <c r="DN22" i="19"/>
  <c r="DK4" i="19"/>
  <c r="D110" i="2"/>
  <c r="DP1" i="19" l="1"/>
  <c r="DO21" i="19"/>
  <c r="DO19" i="19"/>
  <c r="DO22" i="19"/>
  <c r="DO20" i="19"/>
  <c r="DL4" i="19"/>
  <c r="D111" i="2"/>
  <c r="DP19" i="19" l="1"/>
  <c r="DP22" i="19"/>
  <c r="DP20" i="19"/>
  <c r="DP21" i="19"/>
  <c r="DQ1" i="19"/>
  <c r="DM4" i="19"/>
  <c r="D112" i="2"/>
  <c r="DR1" i="19" l="1"/>
  <c r="DQ22" i="19"/>
  <c r="DQ21" i="19"/>
  <c r="DQ19" i="19"/>
  <c r="DQ20" i="19"/>
  <c r="DN4" i="19"/>
  <c r="D113" i="2"/>
  <c r="DR22" i="19" l="1"/>
  <c r="DR20" i="19"/>
  <c r="DS1" i="19"/>
  <c r="DR21" i="19"/>
  <c r="DR19" i="19"/>
  <c r="DO4" i="19"/>
  <c r="D114" i="2"/>
  <c r="DS19" i="19" l="1"/>
  <c r="DS22" i="19"/>
  <c r="DT1" i="19"/>
  <c r="DS21" i="19"/>
  <c r="DS20" i="19"/>
  <c r="DP4" i="19"/>
  <c r="D115" i="2"/>
  <c r="DU1" i="19" l="1"/>
  <c r="DT21" i="19"/>
  <c r="DT20" i="19"/>
  <c r="DT22" i="19"/>
  <c r="DT19" i="19"/>
  <c r="DQ4" i="19"/>
  <c r="D116" i="2"/>
  <c r="DV1" i="19" l="1"/>
  <c r="DU21" i="19"/>
  <c r="DU19" i="19"/>
  <c r="DU20" i="19"/>
  <c r="DU22" i="19"/>
  <c r="DR4" i="19"/>
  <c r="D117" i="2"/>
  <c r="DV20" i="19" l="1"/>
  <c r="DV19" i="19"/>
  <c r="DV22" i="19"/>
  <c r="DV21" i="19"/>
  <c r="DS4" i="19"/>
  <c r="D118" i="2"/>
  <c r="DT4" i="19" l="1"/>
  <c r="D119" i="2"/>
  <c r="DU4" i="19" l="1"/>
  <c r="D120" i="2"/>
  <c r="DV4" i="19" l="1"/>
  <c r="D121" i="2"/>
  <c r="D122" i="2" l="1"/>
  <c r="D123" i="2" l="1"/>
  <c r="D124" i="2" l="1"/>
  <c r="D125" i="2" l="1"/>
  <c r="D126" i="2" l="1"/>
  <c r="D127" i="2" l="1"/>
  <c r="D128" i="2" l="1"/>
  <c r="D129" i="2" l="1"/>
  <c r="D130" i="2" l="1"/>
  <c r="D131" i="2" l="1"/>
  <c r="D132" i="2" l="1"/>
  <c r="D133" i="2" l="1"/>
  <c r="D134" i="2" l="1"/>
  <c r="D135" i="2" l="1"/>
  <c r="D136" i="2" l="1"/>
  <c r="D137" i="2" l="1"/>
  <c r="D138" i="2" l="1"/>
  <c r="D139" i="2" l="1"/>
  <c r="D140" i="2" l="1"/>
  <c r="D141" i="2" l="1"/>
  <c r="D142" i="2" l="1"/>
  <c r="D143" i="2" l="1"/>
  <c r="D144" i="2" l="1"/>
  <c r="D145" i="2" l="1"/>
  <c r="D146" i="2" l="1"/>
  <c r="D147" i="2" l="1"/>
  <c r="D148" i="2" l="1"/>
  <c r="D149" i="2" l="1"/>
  <c r="D150" i="2" l="1"/>
  <c r="D151" i="2" l="1"/>
  <c r="D152" i="2" l="1"/>
  <c r="D153" i="2" l="1"/>
  <c r="D154" i="2" l="1"/>
  <c r="D155" i="2" l="1"/>
  <c r="D156" i="2" l="1"/>
  <c r="D157" i="2" l="1"/>
  <c r="D158" i="2" l="1"/>
  <c r="D159" i="2" l="1"/>
  <c r="D160" i="2" l="1"/>
  <c r="D161" i="2" l="1"/>
  <c r="D162" i="2" l="1"/>
  <c r="D163" i="2" l="1"/>
  <c r="D164" i="2" l="1"/>
  <c r="D165" i="2" l="1"/>
  <c r="D166" i="2" l="1"/>
  <c r="D167" i="2" l="1"/>
  <c r="D168" i="2" l="1"/>
  <c r="D169" i="2" l="1"/>
  <c r="D170" i="2" l="1"/>
  <c r="D171" i="2" l="1"/>
  <c r="D172" i="2" l="1"/>
  <c r="D173" i="2" l="1"/>
  <c r="D174" i="2" l="1"/>
  <c r="D175" i="2" l="1"/>
  <c r="D176" i="2" l="1"/>
  <c r="D177" i="2" l="1"/>
  <c r="D178" i="2" l="1"/>
  <c r="D179" i="2" l="1"/>
  <c r="D180" i="2" l="1"/>
  <c r="D181" i="2" l="1"/>
  <c r="D182" i="2" l="1"/>
  <c r="D183" i="2" l="1"/>
  <c r="D184" i="2" l="1"/>
  <c r="D185" i="2" l="1"/>
  <c r="D186" i="2" l="1"/>
  <c r="D187" i="2" l="1"/>
  <c r="D188" i="2" l="1"/>
  <c r="D189" i="2" l="1"/>
  <c r="D190" i="2" l="1"/>
  <c r="D191" i="2" l="1"/>
  <c r="D192" i="2" l="1"/>
  <c r="D193" i="2" l="1"/>
  <c r="D194" i="2" l="1"/>
  <c r="D195" i="2" l="1"/>
  <c r="D196" i="2" l="1"/>
  <c r="D197" i="2" l="1"/>
  <c r="D198" i="2" l="1"/>
  <c r="D199" i="2" l="1"/>
  <c r="D200" i="2" l="1"/>
  <c r="D201" i="2" l="1"/>
  <c r="D202" i="2" l="1"/>
  <c r="D203" i="2" l="1"/>
  <c r="D204" i="2" l="1"/>
  <c r="D205" i="2" l="1"/>
  <c r="D206" i="2" l="1"/>
  <c r="D207" i="2" l="1"/>
  <c r="D208" i="2" l="1"/>
  <c r="D209" i="2" l="1"/>
  <c r="D210" i="2" l="1"/>
  <c r="D211" i="2" l="1"/>
  <c r="D212" i="2" l="1"/>
  <c r="D213" i="2" l="1"/>
  <c r="D214" i="2" l="1"/>
  <c r="D215" i="2" l="1"/>
  <c r="D216" i="2" l="1"/>
  <c r="D217" i="2" l="1"/>
  <c r="D218" i="2" l="1"/>
  <c r="D219" i="2" l="1"/>
  <c r="D220" i="2" l="1"/>
  <c r="D221" i="2" l="1"/>
  <c r="D222" i="2" l="1"/>
  <c r="D223" i="2" l="1"/>
  <c r="D224" i="2" l="1"/>
  <c r="D225" i="2" l="1"/>
  <c r="D226" i="2" l="1"/>
  <c r="D227" i="2" l="1"/>
  <c r="D228" i="2" l="1"/>
  <c r="D229" i="2" l="1"/>
  <c r="D230" i="2" l="1"/>
  <c r="D231" i="2" l="1"/>
  <c r="D232" i="2" l="1"/>
  <c r="D233" i="2" l="1"/>
  <c r="D234" i="2" l="1"/>
  <c r="D235" i="2" l="1"/>
  <c r="D236" i="2" l="1"/>
  <c r="D237" i="2" l="1"/>
  <c r="D238" i="2" l="1"/>
  <c r="D239" i="2" l="1"/>
  <c r="D240" i="2" l="1"/>
  <c r="D241" i="2" l="1"/>
  <c r="D242" i="2" l="1"/>
  <c r="D243" i="2" l="1"/>
  <c r="D244" i="2" l="1"/>
  <c r="D245" i="2" l="1"/>
  <c r="D246" i="2" l="1"/>
  <c r="D247" i="2" l="1"/>
  <c r="D248" i="2" l="1"/>
  <c r="D249" i="2" l="1"/>
  <c r="D250" i="2" l="1"/>
  <c r="D251" i="2" l="1"/>
  <c r="D252" i="2" l="1"/>
  <c r="D253" i="2" l="1"/>
  <c r="D254" i="2" l="1"/>
  <c r="D255" i="2" l="1"/>
  <c r="D256" i="2" l="1"/>
  <c r="D257" i="2" l="1"/>
  <c r="D258" i="2" l="1"/>
  <c r="D259" i="2" l="1"/>
  <c r="D260" i="2" l="1"/>
  <c r="D261" i="2" l="1"/>
  <c r="D262" i="2" l="1"/>
  <c r="D263" i="2" l="1"/>
  <c r="D264" i="2" l="1"/>
  <c r="D265" i="2" l="1"/>
  <c r="D266" i="2" l="1"/>
  <c r="D267" i="2" l="1"/>
  <c r="D268" i="2" l="1"/>
  <c r="D269" i="2" l="1"/>
  <c r="D270" i="2" l="1"/>
  <c r="D271" i="2" l="1"/>
  <c r="D272" i="2" l="1"/>
  <c r="D273" i="2" l="1"/>
  <c r="D274" i="2" l="1"/>
  <c r="D275" i="2" l="1"/>
  <c r="D276" i="2" l="1"/>
  <c r="D277" i="2" l="1"/>
  <c r="D278" i="2" l="1"/>
  <c r="D279" i="2" l="1"/>
  <c r="D280" i="2" l="1"/>
  <c r="D281" i="2" l="1"/>
  <c r="D282" i="2" l="1"/>
  <c r="D283" i="2" l="1"/>
  <c r="D284" i="2" l="1"/>
  <c r="D285" i="2" l="1"/>
  <c r="D286" i="2" l="1"/>
  <c r="D287" i="2" l="1"/>
  <c r="D288" i="2" l="1"/>
  <c r="D289" i="2" l="1"/>
  <c r="D290" i="2" l="1"/>
  <c r="D291" i="2" l="1"/>
  <c r="D292" i="2" l="1"/>
  <c r="D293" i="2" l="1"/>
  <c r="D294" i="2" l="1"/>
  <c r="D295" i="2" l="1"/>
  <c r="D296" i="2" l="1"/>
  <c r="D297" i="2" l="1"/>
  <c r="D298" i="2" l="1"/>
  <c r="D299" i="2" l="1"/>
  <c r="D300" i="2" l="1"/>
  <c r="D301" i="2" l="1"/>
  <c r="D302" i="2" l="1"/>
  <c r="D303" i="2" l="1"/>
  <c r="D304" i="2" l="1"/>
  <c r="D305" i="2" l="1"/>
  <c r="D306" i="2" l="1"/>
  <c r="D307" i="2" l="1"/>
  <c r="D308" i="2" l="1"/>
  <c r="D309" i="2" l="1"/>
  <c r="D310" i="2" l="1"/>
  <c r="D311" i="2" l="1"/>
  <c r="D312" i="2" l="1"/>
  <c r="D313" i="2" l="1"/>
  <c r="D314" i="2" l="1"/>
  <c r="D315" i="2" l="1"/>
  <c r="D316" i="2" l="1"/>
  <c r="D317" i="2" l="1"/>
  <c r="D318" i="2" l="1"/>
  <c r="D319" i="2" l="1"/>
  <c r="D320" i="2" l="1"/>
  <c r="D321" i="2" l="1"/>
  <c r="D322" i="2" l="1"/>
  <c r="D323" i="2" l="1"/>
  <c r="D324" i="2" l="1"/>
  <c r="D325" i="2" l="1"/>
  <c r="D326" i="2" l="1"/>
  <c r="D327" i="2" l="1"/>
  <c r="D328" i="2" l="1"/>
  <c r="D329" i="2" l="1"/>
  <c r="D330" i="2" l="1"/>
  <c r="D331" i="2" l="1"/>
  <c r="D332" i="2" l="1"/>
  <c r="D333" i="2" l="1"/>
  <c r="D334" i="2" l="1"/>
  <c r="D335" i="2" l="1"/>
  <c r="D336" i="2" l="1"/>
  <c r="D337" i="2" l="1"/>
  <c r="D338" i="2" l="1"/>
  <c r="D339" i="2" l="1"/>
  <c r="D340" i="2" l="1"/>
  <c r="D341" i="2" l="1"/>
  <c r="D342" i="2" l="1"/>
  <c r="D343" i="2" l="1"/>
  <c r="D344" i="2" l="1"/>
  <c r="D345" i="2" l="1"/>
  <c r="D346" i="2" l="1"/>
  <c r="D347" i="2" l="1"/>
  <c r="D348" i="2" l="1"/>
  <c r="D349" i="2" l="1"/>
  <c r="D350" i="2" l="1"/>
  <c r="D351" i="2" l="1"/>
  <c r="D352" i="2" l="1"/>
  <c r="D353" i="2" l="1"/>
  <c r="D354" i="2" l="1"/>
  <c r="D355" i="2" l="1"/>
  <c r="D356" i="2" l="1"/>
  <c r="D357" i="2" l="1"/>
  <c r="D358" i="2" l="1"/>
  <c r="D359" i="2" l="1"/>
  <c r="D360" i="2" l="1"/>
  <c r="D361" i="2" l="1"/>
  <c r="D362" i="2" l="1"/>
  <c r="D363" i="2" l="1"/>
  <c r="D364" i="2" l="1"/>
  <c r="D365" i="2" l="1"/>
  <c r="C15" i="17" l="1"/>
  <c r="C22" i="17"/>
  <c r="C13" i="17"/>
  <c r="C10" i="17"/>
  <c r="C8" i="17"/>
  <c r="C7" i="17"/>
  <c r="C9" i="17"/>
  <c r="C4" i="17"/>
  <c r="C39" i="17" l="1"/>
  <c r="C41" i="17"/>
  <c r="C6" i="17"/>
  <c r="B3" i="2" l="1"/>
  <c r="B6" i="2" l="1"/>
  <c r="F6" i="2"/>
  <c r="I5" i="2"/>
  <c r="F5" i="19" s="1"/>
  <c r="F7" i="2"/>
  <c r="H9" i="19" s="1"/>
  <c r="F8" i="2"/>
  <c r="I9" i="19" s="1"/>
  <c r="F9" i="2"/>
  <c r="J9" i="19" s="1"/>
  <c r="F10" i="2"/>
  <c r="K9" i="19" s="1"/>
  <c r="F11" i="2"/>
  <c r="L9" i="19" s="1"/>
  <c r="F12" i="2"/>
  <c r="M9" i="19" s="1"/>
  <c r="F13" i="2"/>
  <c r="N9" i="19" s="1"/>
  <c r="F14" i="2"/>
  <c r="O9" i="19" s="1"/>
  <c r="F15" i="2"/>
  <c r="P9" i="19" s="1"/>
  <c r="F16" i="2"/>
  <c r="Q9" i="19" s="1"/>
  <c r="F17" i="2"/>
  <c r="R9" i="19" s="1"/>
  <c r="F18" i="2"/>
  <c r="S9" i="19" s="1"/>
  <c r="F19" i="2"/>
  <c r="T9" i="19" s="1"/>
  <c r="F20" i="2"/>
  <c r="U9" i="19" s="1"/>
  <c r="F21" i="2"/>
  <c r="V9" i="19" s="1"/>
  <c r="F22" i="2"/>
  <c r="W9" i="19" s="1"/>
  <c r="F23" i="2"/>
  <c r="X9" i="19" s="1"/>
  <c r="F24" i="2"/>
  <c r="Y9" i="19" s="1"/>
  <c r="F25" i="2"/>
  <c r="Z9" i="19" s="1"/>
  <c r="F26" i="2"/>
  <c r="AA9" i="19" s="1"/>
  <c r="F27" i="2"/>
  <c r="AB9" i="19" s="1"/>
  <c r="F28" i="2"/>
  <c r="AC9" i="19" s="1"/>
  <c r="F29" i="2"/>
  <c r="AD9" i="19" s="1"/>
  <c r="F30" i="2"/>
  <c r="AE9" i="19" s="1"/>
  <c r="F31" i="2"/>
  <c r="AF9" i="19" s="1"/>
  <c r="F32" i="2"/>
  <c r="AG9" i="19" s="1"/>
  <c r="F33" i="2"/>
  <c r="AH9" i="19" s="1"/>
  <c r="F34" i="2"/>
  <c r="AI9" i="19" s="1"/>
  <c r="F35" i="2"/>
  <c r="AJ9" i="19" s="1"/>
  <c r="F36" i="2"/>
  <c r="AK9" i="19" s="1"/>
  <c r="F37" i="2"/>
  <c r="AL9" i="19" s="1"/>
  <c r="F38" i="2"/>
  <c r="AM9" i="19" s="1"/>
  <c r="F39" i="2"/>
  <c r="AN9" i="19" s="1"/>
  <c r="F40" i="2"/>
  <c r="AO9" i="19" s="1"/>
  <c r="F41" i="2"/>
  <c r="AP9" i="19" s="1"/>
  <c r="F42" i="2"/>
  <c r="AQ9" i="19" s="1"/>
  <c r="F43" i="2"/>
  <c r="AR9" i="19" s="1"/>
  <c r="F44" i="2"/>
  <c r="AS9" i="19" s="1"/>
  <c r="F45" i="2"/>
  <c r="AT9" i="19" s="1"/>
  <c r="F46" i="2"/>
  <c r="AU9" i="19" s="1"/>
  <c r="F47" i="2"/>
  <c r="AV9" i="19" s="1"/>
  <c r="F48" i="2"/>
  <c r="AW9" i="19" s="1"/>
  <c r="F49" i="2"/>
  <c r="AX9" i="19" s="1"/>
  <c r="F50" i="2"/>
  <c r="AY9" i="19" s="1"/>
  <c r="F51" i="2"/>
  <c r="AZ9" i="19" s="1"/>
  <c r="F52" i="2"/>
  <c r="BA9" i="19" s="1"/>
  <c r="F53" i="2"/>
  <c r="BB9" i="19" s="1"/>
  <c r="F54" i="2"/>
  <c r="BC9" i="19" s="1"/>
  <c r="F55" i="2"/>
  <c r="BD9" i="19" s="1"/>
  <c r="F56" i="2"/>
  <c r="BE9" i="19" s="1"/>
  <c r="F57" i="2"/>
  <c r="BF9" i="19" s="1"/>
  <c r="F58" i="2"/>
  <c r="BG9" i="19" s="1"/>
  <c r="F59" i="2"/>
  <c r="BH9" i="19" s="1"/>
  <c r="F60" i="2"/>
  <c r="BI9" i="19" s="1"/>
  <c r="F61" i="2"/>
  <c r="BJ9" i="19" s="1"/>
  <c r="F62" i="2"/>
  <c r="BK9" i="19" s="1"/>
  <c r="F63" i="2"/>
  <c r="BL9" i="19" s="1"/>
  <c r="F64" i="2"/>
  <c r="BM9" i="19" s="1"/>
  <c r="F65" i="2"/>
  <c r="BN9" i="19" s="1"/>
  <c r="F66" i="2"/>
  <c r="BO9" i="19" s="1"/>
  <c r="F67" i="2"/>
  <c r="BP9" i="19" s="1"/>
  <c r="F68" i="2"/>
  <c r="BQ9" i="19" s="1"/>
  <c r="F69" i="2"/>
  <c r="BR9" i="19" s="1"/>
  <c r="F70" i="2"/>
  <c r="BS9" i="19" s="1"/>
  <c r="F71" i="2"/>
  <c r="BT9" i="19" s="1"/>
  <c r="F72" i="2"/>
  <c r="BU9" i="19" s="1"/>
  <c r="F73" i="2"/>
  <c r="BV9" i="19" s="1"/>
  <c r="F74" i="2"/>
  <c r="BW9" i="19" s="1"/>
  <c r="F75" i="2"/>
  <c r="BX9" i="19" s="1"/>
  <c r="F76" i="2"/>
  <c r="BY9" i="19" s="1"/>
  <c r="F77" i="2"/>
  <c r="BZ9" i="19" s="1"/>
  <c r="F78" i="2"/>
  <c r="CA9" i="19" s="1"/>
  <c r="F79" i="2"/>
  <c r="CB9" i="19" s="1"/>
  <c r="F80" i="2"/>
  <c r="CC9" i="19" s="1"/>
  <c r="F81" i="2"/>
  <c r="CD9" i="19" s="1"/>
  <c r="F82" i="2"/>
  <c r="CE9" i="19" s="1"/>
  <c r="F83" i="2"/>
  <c r="CF9" i="19" s="1"/>
  <c r="F84" i="2"/>
  <c r="CG9" i="19" s="1"/>
  <c r="F85" i="2"/>
  <c r="CH9" i="19" s="1"/>
  <c r="F86" i="2"/>
  <c r="CI9" i="19" s="1"/>
  <c r="F87" i="2"/>
  <c r="CJ9" i="19" s="1"/>
  <c r="F88" i="2"/>
  <c r="CK9" i="19" s="1"/>
  <c r="F89" i="2"/>
  <c r="CL9" i="19" s="1"/>
  <c r="F90" i="2"/>
  <c r="CM9" i="19" s="1"/>
  <c r="F91" i="2"/>
  <c r="CN9" i="19" s="1"/>
  <c r="F92" i="2"/>
  <c r="CO9" i="19" s="1"/>
  <c r="F93" i="2"/>
  <c r="CP9" i="19" s="1"/>
  <c r="F94" i="2"/>
  <c r="CQ9" i="19" s="1"/>
  <c r="F95" i="2"/>
  <c r="CR9" i="19" s="1"/>
  <c r="F96" i="2"/>
  <c r="CS9" i="19" s="1"/>
  <c r="F97" i="2"/>
  <c r="CT9" i="19" s="1"/>
  <c r="F98" i="2"/>
  <c r="CU9" i="19" s="1"/>
  <c r="F99" i="2"/>
  <c r="CV9" i="19" s="1"/>
  <c r="F100" i="2"/>
  <c r="CW9" i="19" s="1"/>
  <c r="F101" i="2"/>
  <c r="CX9" i="19" s="1"/>
  <c r="F102" i="2"/>
  <c r="CY9" i="19" s="1"/>
  <c r="F103" i="2"/>
  <c r="CZ9" i="19" s="1"/>
  <c r="F104" i="2"/>
  <c r="DA9" i="19" s="1"/>
  <c r="F105" i="2"/>
  <c r="DB9" i="19" s="1"/>
  <c r="F106" i="2"/>
  <c r="DC9" i="19" s="1"/>
  <c r="F107" i="2"/>
  <c r="DD9" i="19" s="1"/>
  <c r="F108" i="2"/>
  <c r="DE9" i="19" s="1"/>
  <c r="F109" i="2"/>
  <c r="DF9" i="19" s="1"/>
  <c r="F110" i="2"/>
  <c r="DG9" i="19" s="1"/>
  <c r="F111" i="2"/>
  <c r="DH9" i="19" s="1"/>
  <c r="F112" i="2"/>
  <c r="DI9" i="19" s="1"/>
  <c r="F113" i="2"/>
  <c r="DJ9" i="19" s="1"/>
  <c r="F114" i="2"/>
  <c r="DK9" i="19" s="1"/>
  <c r="F115" i="2"/>
  <c r="DL9" i="19" s="1"/>
  <c r="F116" i="2"/>
  <c r="DM9" i="19" s="1"/>
  <c r="F117" i="2"/>
  <c r="DN9" i="19" s="1"/>
  <c r="F118" i="2"/>
  <c r="DO9" i="19" s="1"/>
  <c r="F119" i="2"/>
  <c r="DP9" i="19" s="1"/>
  <c r="F120" i="2"/>
  <c r="DQ9" i="19" s="1"/>
  <c r="F121" i="2"/>
  <c r="DR9" i="19" s="1"/>
  <c r="F122" i="2"/>
  <c r="DS9" i="19" s="1"/>
  <c r="F123" i="2"/>
  <c r="DT9" i="19" s="1"/>
  <c r="F124" i="2"/>
  <c r="DU9" i="19" s="1"/>
  <c r="F125" i="2"/>
  <c r="DV9" i="19" s="1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B7" i="2" l="1"/>
  <c r="C21" i="20"/>
  <c r="K6" i="2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G9" i="19"/>
  <c r="F6" i="19"/>
  <c r="F11" i="19"/>
  <c r="F16" i="19" s="1"/>
  <c r="I6" i="2"/>
  <c r="C25" i="17"/>
  <c r="H7" i="2"/>
  <c r="G7" i="2" s="1"/>
  <c r="H11" i="2"/>
  <c r="G11" i="2" s="1"/>
  <c r="H15" i="2"/>
  <c r="G15" i="2" s="1"/>
  <c r="H19" i="2"/>
  <c r="G19" i="2" s="1"/>
  <c r="H23" i="2"/>
  <c r="G23" i="2" s="1"/>
  <c r="H27" i="2"/>
  <c r="G27" i="2" s="1"/>
  <c r="H31" i="2"/>
  <c r="G31" i="2" s="1"/>
  <c r="H35" i="2"/>
  <c r="G35" i="2" s="1"/>
  <c r="H39" i="2"/>
  <c r="G39" i="2" s="1"/>
  <c r="H43" i="2"/>
  <c r="G43" i="2" s="1"/>
  <c r="H47" i="2"/>
  <c r="G47" i="2" s="1"/>
  <c r="H51" i="2"/>
  <c r="G51" i="2" s="1"/>
  <c r="H55" i="2"/>
  <c r="G55" i="2" s="1"/>
  <c r="H59" i="2"/>
  <c r="G59" i="2" s="1"/>
  <c r="H63" i="2"/>
  <c r="G63" i="2" s="1"/>
  <c r="H67" i="2"/>
  <c r="G67" i="2" s="1"/>
  <c r="H71" i="2"/>
  <c r="G71" i="2" s="1"/>
  <c r="H75" i="2"/>
  <c r="G75" i="2" s="1"/>
  <c r="H79" i="2"/>
  <c r="G79" i="2" s="1"/>
  <c r="H83" i="2"/>
  <c r="G83" i="2" s="1"/>
  <c r="H87" i="2"/>
  <c r="G87" i="2" s="1"/>
  <c r="H91" i="2"/>
  <c r="G91" i="2" s="1"/>
  <c r="H95" i="2"/>
  <c r="G95" i="2" s="1"/>
  <c r="H99" i="2"/>
  <c r="G99" i="2" s="1"/>
  <c r="H103" i="2"/>
  <c r="G103" i="2" s="1"/>
  <c r="H107" i="2"/>
  <c r="G107" i="2" s="1"/>
  <c r="H111" i="2"/>
  <c r="G111" i="2" s="1"/>
  <c r="H115" i="2"/>
  <c r="G115" i="2" s="1"/>
  <c r="H119" i="2"/>
  <c r="G119" i="2" s="1"/>
  <c r="H123" i="2"/>
  <c r="G123" i="2" s="1"/>
  <c r="H127" i="2"/>
  <c r="G127" i="2" s="1"/>
  <c r="H131" i="2"/>
  <c r="G131" i="2" s="1"/>
  <c r="H135" i="2"/>
  <c r="G135" i="2" s="1"/>
  <c r="H139" i="2"/>
  <c r="G139" i="2" s="1"/>
  <c r="H143" i="2"/>
  <c r="G143" i="2" s="1"/>
  <c r="H147" i="2"/>
  <c r="G147" i="2" s="1"/>
  <c r="H151" i="2"/>
  <c r="G151" i="2" s="1"/>
  <c r="H155" i="2"/>
  <c r="G155" i="2" s="1"/>
  <c r="H159" i="2"/>
  <c r="G159" i="2" s="1"/>
  <c r="H163" i="2"/>
  <c r="G163" i="2" s="1"/>
  <c r="H167" i="2"/>
  <c r="G167" i="2" s="1"/>
  <c r="H171" i="2"/>
  <c r="G171" i="2" s="1"/>
  <c r="H175" i="2"/>
  <c r="G175" i="2" s="1"/>
  <c r="H179" i="2"/>
  <c r="G179" i="2" s="1"/>
  <c r="H184" i="2"/>
  <c r="G184" i="2" s="1"/>
  <c r="H187" i="2"/>
  <c r="G187" i="2" s="1"/>
  <c r="H192" i="2"/>
  <c r="G192" i="2" s="1"/>
  <c r="H195" i="2"/>
  <c r="G195" i="2" s="1"/>
  <c r="H200" i="2"/>
  <c r="G200" i="2" s="1"/>
  <c r="H203" i="2"/>
  <c r="G203" i="2" s="1"/>
  <c r="H208" i="2"/>
  <c r="G208" i="2" s="1"/>
  <c r="H211" i="2"/>
  <c r="G211" i="2" s="1"/>
  <c r="H216" i="2"/>
  <c r="G216" i="2" s="1"/>
  <c r="H219" i="2"/>
  <c r="G219" i="2" s="1"/>
  <c r="H224" i="2"/>
  <c r="G224" i="2" s="1"/>
  <c r="H227" i="2"/>
  <c r="G227" i="2" s="1"/>
  <c r="H232" i="2"/>
  <c r="G232" i="2" s="1"/>
  <c r="H235" i="2"/>
  <c r="G235" i="2" s="1"/>
  <c r="H240" i="2"/>
  <c r="G240" i="2" s="1"/>
  <c r="H243" i="2"/>
  <c r="G243" i="2" s="1"/>
  <c r="H248" i="2"/>
  <c r="G248" i="2" s="1"/>
  <c r="H251" i="2"/>
  <c r="G251" i="2" s="1"/>
  <c r="H256" i="2"/>
  <c r="G256" i="2" s="1"/>
  <c r="H259" i="2"/>
  <c r="G259" i="2" s="1"/>
  <c r="H264" i="2"/>
  <c r="G264" i="2" s="1"/>
  <c r="H267" i="2"/>
  <c r="G267" i="2" s="1"/>
  <c r="H272" i="2"/>
  <c r="G272" i="2" s="1"/>
  <c r="H275" i="2"/>
  <c r="G275" i="2" s="1"/>
  <c r="H280" i="2"/>
  <c r="G280" i="2" s="1"/>
  <c r="H283" i="2"/>
  <c r="G283" i="2" s="1"/>
  <c r="H9" i="2"/>
  <c r="G9" i="2" s="1"/>
  <c r="H14" i="2"/>
  <c r="G14" i="2" s="1"/>
  <c r="H20" i="2"/>
  <c r="G20" i="2" s="1"/>
  <c r="H25" i="2"/>
  <c r="G25" i="2" s="1"/>
  <c r="H30" i="2"/>
  <c r="G30" i="2" s="1"/>
  <c r="H36" i="2"/>
  <c r="G36" i="2" s="1"/>
  <c r="H41" i="2"/>
  <c r="G41" i="2" s="1"/>
  <c r="H46" i="2"/>
  <c r="G46" i="2" s="1"/>
  <c r="H52" i="2"/>
  <c r="G52" i="2" s="1"/>
  <c r="H57" i="2"/>
  <c r="G57" i="2" s="1"/>
  <c r="H62" i="2"/>
  <c r="G62" i="2" s="1"/>
  <c r="H68" i="2"/>
  <c r="G68" i="2" s="1"/>
  <c r="H73" i="2"/>
  <c r="G73" i="2" s="1"/>
  <c r="H78" i="2"/>
  <c r="G78" i="2" s="1"/>
  <c r="H84" i="2"/>
  <c r="G84" i="2" s="1"/>
  <c r="H89" i="2"/>
  <c r="G89" i="2" s="1"/>
  <c r="H94" i="2"/>
  <c r="G94" i="2" s="1"/>
  <c r="H100" i="2"/>
  <c r="G100" i="2" s="1"/>
  <c r="H105" i="2"/>
  <c r="G105" i="2" s="1"/>
  <c r="H110" i="2"/>
  <c r="G110" i="2" s="1"/>
  <c r="H116" i="2"/>
  <c r="G116" i="2" s="1"/>
  <c r="H121" i="2"/>
  <c r="G121" i="2" s="1"/>
  <c r="H126" i="2"/>
  <c r="G126" i="2" s="1"/>
  <c r="H132" i="2"/>
  <c r="G132" i="2" s="1"/>
  <c r="H137" i="2"/>
  <c r="G137" i="2" s="1"/>
  <c r="H142" i="2"/>
  <c r="G142" i="2" s="1"/>
  <c r="H148" i="2"/>
  <c r="G148" i="2" s="1"/>
  <c r="H153" i="2"/>
  <c r="G153" i="2" s="1"/>
  <c r="H158" i="2"/>
  <c r="G158" i="2" s="1"/>
  <c r="H164" i="2"/>
  <c r="G164" i="2" s="1"/>
  <c r="H169" i="2"/>
  <c r="G169" i="2" s="1"/>
  <c r="H174" i="2"/>
  <c r="G174" i="2" s="1"/>
  <c r="H183" i="2"/>
  <c r="G183" i="2" s="1"/>
  <c r="H186" i="2"/>
  <c r="G186" i="2" s="1"/>
  <c r="H190" i="2"/>
  <c r="G190" i="2" s="1"/>
  <c r="H197" i="2"/>
  <c r="G197" i="2" s="1"/>
  <c r="H201" i="2"/>
  <c r="G201" i="2" s="1"/>
  <c r="H204" i="2"/>
  <c r="G204" i="2" s="1"/>
  <c r="H215" i="2"/>
  <c r="G215" i="2" s="1"/>
  <c r="H218" i="2"/>
  <c r="G218" i="2" s="1"/>
  <c r="H222" i="2"/>
  <c r="G222" i="2" s="1"/>
  <c r="H229" i="2"/>
  <c r="G229" i="2" s="1"/>
  <c r="H233" i="2"/>
  <c r="G233" i="2" s="1"/>
  <c r="H236" i="2"/>
  <c r="G236" i="2" s="1"/>
  <c r="H247" i="2"/>
  <c r="G247" i="2" s="1"/>
  <c r="H250" i="2"/>
  <c r="G250" i="2" s="1"/>
  <c r="H254" i="2"/>
  <c r="G254" i="2" s="1"/>
  <c r="H261" i="2"/>
  <c r="G261" i="2" s="1"/>
  <c r="H265" i="2"/>
  <c r="G265" i="2" s="1"/>
  <c r="H268" i="2"/>
  <c r="G268" i="2" s="1"/>
  <c r="H279" i="2"/>
  <c r="G279" i="2" s="1"/>
  <c r="H282" i="2"/>
  <c r="G282" i="2" s="1"/>
  <c r="H286" i="2"/>
  <c r="G286" i="2" s="1"/>
  <c r="H289" i="2"/>
  <c r="G289" i="2" s="1"/>
  <c r="H294" i="2"/>
  <c r="G294" i="2" s="1"/>
  <c r="H297" i="2"/>
  <c r="G297" i="2" s="1"/>
  <c r="H302" i="2"/>
  <c r="G302" i="2" s="1"/>
  <c r="H305" i="2"/>
  <c r="G305" i="2" s="1"/>
  <c r="H310" i="2"/>
  <c r="G310" i="2" s="1"/>
  <c r="H313" i="2"/>
  <c r="G313" i="2" s="1"/>
  <c r="H318" i="2"/>
  <c r="G318" i="2" s="1"/>
  <c r="H321" i="2"/>
  <c r="G321" i="2" s="1"/>
  <c r="H326" i="2"/>
  <c r="G326" i="2" s="1"/>
  <c r="H329" i="2"/>
  <c r="G329" i="2" s="1"/>
  <c r="H334" i="2"/>
  <c r="G334" i="2" s="1"/>
  <c r="H337" i="2"/>
  <c r="G337" i="2" s="1"/>
  <c r="H342" i="2"/>
  <c r="G342" i="2" s="1"/>
  <c r="H10" i="2"/>
  <c r="G10" i="2" s="1"/>
  <c r="H16" i="2"/>
  <c r="G16" i="2" s="1"/>
  <c r="H21" i="2"/>
  <c r="G21" i="2" s="1"/>
  <c r="H26" i="2"/>
  <c r="G26" i="2" s="1"/>
  <c r="H32" i="2"/>
  <c r="G32" i="2" s="1"/>
  <c r="H37" i="2"/>
  <c r="G37" i="2" s="1"/>
  <c r="H42" i="2"/>
  <c r="G42" i="2" s="1"/>
  <c r="H48" i="2"/>
  <c r="G48" i="2" s="1"/>
  <c r="H53" i="2"/>
  <c r="G53" i="2" s="1"/>
  <c r="H58" i="2"/>
  <c r="G58" i="2" s="1"/>
  <c r="H64" i="2"/>
  <c r="G64" i="2" s="1"/>
  <c r="H69" i="2"/>
  <c r="G69" i="2" s="1"/>
  <c r="H74" i="2"/>
  <c r="G74" i="2" s="1"/>
  <c r="H80" i="2"/>
  <c r="G80" i="2" s="1"/>
  <c r="H85" i="2"/>
  <c r="G85" i="2" s="1"/>
  <c r="H90" i="2"/>
  <c r="G90" i="2" s="1"/>
  <c r="H96" i="2"/>
  <c r="G96" i="2" s="1"/>
  <c r="H101" i="2"/>
  <c r="G101" i="2" s="1"/>
  <c r="H106" i="2"/>
  <c r="G106" i="2" s="1"/>
  <c r="H112" i="2"/>
  <c r="G112" i="2" s="1"/>
  <c r="H117" i="2"/>
  <c r="G117" i="2" s="1"/>
  <c r="H122" i="2"/>
  <c r="G122" i="2" s="1"/>
  <c r="H128" i="2"/>
  <c r="G128" i="2" s="1"/>
  <c r="H133" i="2"/>
  <c r="G133" i="2" s="1"/>
  <c r="H138" i="2"/>
  <c r="G138" i="2" s="1"/>
  <c r="H144" i="2"/>
  <c r="G144" i="2" s="1"/>
  <c r="H149" i="2"/>
  <c r="G149" i="2" s="1"/>
  <c r="H154" i="2"/>
  <c r="G154" i="2" s="1"/>
  <c r="H160" i="2"/>
  <c r="G160" i="2" s="1"/>
  <c r="H165" i="2"/>
  <c r="G165" i="2" s="1"/>
  <c r="H170" i="2"/>
  <c r="G170" i="2" s="1"/>
  <c r="H176" i="2"/>
  <c r="G176" i="2" s="1"/>
  <c r="H180" i="2"/>
  <c r="G180" i="2" s="1"/>
  <c r="H12" i="2"/>
  <c r="G12" i="2" s="1"/>
  <c r="H17" i="2"/>
  <c r="G17" i="2" s="1"/>
  <c r="H22" i="2"/>
  <c r="G22" i="2" s="1"/>
  <c r="H28" i="2"/>
  <c r="G28" i="2" s="1"/>
  <c r="H33" i="2"/>
  <c r="G33" i="2" s="1"/>
  <c r="H38" i="2"/>
  <c r="G38" i="2" s="1"/>
  <c r="H44" i="2"/>
  <c r="G44" i="2" s="1"/>
  <c r="H49" i="2"/>
  <c r="G49" i="2" s="1"/>
  <c r="H54" i="2"/>
  <c r="G54" i="2" s="1"/>
  <c r="H60" i="2"/>
  <c r="G60" i="2" s="1"/>
  <c r="H65" i="2"/>
  <c r="G65" i="2" s="1"/>
  <c r="H70" i="2"/>
  <c r="G70" i="2" s="1"/>
  <c r="H76" i="2"/>
  <c r="G76" i="2" s="1"/>
  <c r="H81" i="2"/>
  <c r="G81" i="2" s="1"/>
  <c r="H86" i="2"/>
  <c r="G86" i="2" s="1"/>
  <c r="H92" i="2"/>
  <c r="G92" i="2" s="1"/>
  <c r="H97" i="2"/>
  <c r="G97" i="2" s="1"/>
  <c r="H102" i="2"/>
  <c r="G102" i="2" s="1"/>
  <c r="H108" i="2"/>
  <c r="G108" i="2" s="1"/>
  <c r="H113" i="2"/>
  <c r="G113" i="2" s="1"/>
  <c r="H118" i="2"/>
  <c r="G118" i="2" s="1"/>
  <c r="H124" i="2"/>
  <c r="G124" i="2" s="1"/>
  <c r="H129" i="2"/>
  <c r="G129" i="2" s="1"/>
  <c r="H134" i="2"/>
  <c r="G134" i="2" s="1"/>
  <c r="H140" i="2"/>
  <c r="G140" i="2" s="1"/>
  <c r="H145" i="2"/>
  <c r="G145" i="2" s="1"/>
  <c r="H150" i="2"/>
  <c r="G150" i="2" s="1"/>
  <c r="H156" i="2"/>
  <c r="G156" i="2" s="1"/>
  <c r="H161" i="2"/>
  <c r="G161" i="2" s="1"/>
  <c r="H166" i="2"/>
  <c r="G166" i="2" s="1"/>
  <c r="H172" i="2"/>
  <c r="G172" i="2" s="1"/>
  <c r="H177" i="2"/>
  <c r="G177" i="2" s="1"/>
  <c r="H181" i="2"/>
  <c r="G181" i="2" s="1"/>
  <c r="H185" i="2"/>
  <c r="G185" i="2" s="1"/>
  <c r="H188" i="2"/>
  <c r="G188" i="2" s="1"/>
  <c r="H199" i="2"/>
  <c r="G199" i="2" s="1"/>
  <c r="H202" i="2"/>
  <c r="G202" i="2" s="1"/>
  <c r="H206" i="2"/>
  <c r="G206" i="2" s="1"/>
  <c r="H213" i="2"/>
  <c r="G213" i="2" s="1"/>
  <c r="H217" i="2"/>
  <c r="G217" i="2" s="1"/>
  <c r="H220" i="2"/>
  <c r="G220" i="2" s="1"/>
  <c r="H231" i="2"/>
  <c r="G231" i="2" s="1"/>
  <c r="H234" i="2"/>
  <c r="G234" i="2" s="1"/>
  <c r="H238" i="2"/>
  <c r="G238" i="2" s="1"/>
  <c r="H245" i="2"/>
  <c r="G245" i="2" s="1"/>
  <c r="H249" i="2"/>
  <c r="G249" i="2" s="1"/>
  <c r="H252" i="2"/>
  <c r="G252" i="2" s="1"/>
  <c r="H263" i="2"/>
  <c r="G263" i="2" s="1"/>
  <c r="H266" i="2"/>
  <c r="G266" i="2" s="1"/>
  <c r="H270" i="2"/>
  <c r="G270" i="2" s="1"/>
  <c r="H277" i="2"/>
  <c r="G277" i="2" s="1"/>
  <c r="H281" i="2"/>
  <c r="G281" i="2" s="1"/>
  <c r="H284" i="2"/>
  <c r="G284" i="2" s="1"/>
  <c r="H290" i="2"/>
  <c r="G290" i="2" s="1"/>
  <c r="H293" i="2"/>
  <c r="G293" i="2" s="1"/>
  <c r="H298" i="2"/>
  <c r="G298" i="2" s="1"/>
  <c r="H301" i="2"/>
  <c r="G301" i="2" s="1"/>
  <c r="H306" i="2"/>
  <c r="G306" i="2" s="1"/>
  <c r="H309" i="2"/>
  <c r="G309" i="2" s="1"/>
  <c r="H314" i="2"/>
  <c r="G314" i="2" s="1"/>
  <c r="H317" i="2"/>
  <c r="G317" i="2" s="1"/>
  <c r="H322" i="2"/>
  <c r="G322" i="2" s="1"/>
  <c r="H325" i="2"/>
  <c r="G325" i="2" s="1"/>
  <c r="H330" i="2"/>
  <c r="G330" i="2" s="1"/>
  <c r="H333" i="2"/>
  <c r="G333" i="2" s="1"/>
  <c r="H338" i="2"/>
  <c r="G338" i="2" s="1"/>
  <c r="H341" i="2"/>
  <c r="G341" i="2" s="1"/>
  <c r="H8" i="2"/>
  <c r="G8" i="2" s="1"/>
  <c r="H29" i="2"/>
  <c r="G29" i="2" s="1"/>
  <c r="H50" i="2"/>
  <c r="G50" i="2" s="1"/>
  <c r="H72" i="2"/>
  <c r="G72" i="2" s="1"/>
  <c r="H93" i="2"/>
  <c r="G93" i="2" s="1"/>
  <c r="H114" i="2"/>
  <c r="G114" i="2" s="1"/>
  <c r="H136" i="2"/>
  <c r="G136" i="2" s="1"/>
  <c r="H157" i="2"/>
  <c r="G157" i="2" s="1"/>
  <c r="H178" i="2"/>
  <c r="G178" i="2" s="1"/>
  <c r="H189" i="2"/>
  <c r="G189" i="2" s="1"/>
  <c r="H196" i="2"/>
  <c r="G196" i="2" s="1"/>
  <c r="H210" i="2"/>
  <c r="G210" i="2" s="1"/>
  <c r="H225" i="2"/>
  <c r="G225" i="2" s="1"/>
  <c r="H239" i="2"/>
  <c r="G239" i="2" s="1"/>
  <c r="H246" i="2"/>
  <c r="G246" i="2" s="1"/>
  <c r="H253" i="2"/>
  <c r="G253" i="2" s="1"/>
  <c r="H260" i="2"/>
  <c r="G260" i="2" s="1"/>
  <c r="H274" i="2"/>
  <c r="G274" i="2" s="1"/>
  <c r="H288" i="2"/>
  <c r="G288" i="2" s="1"/>
  <c r="H299" i="2"/>
  <c r="G299" i="2" s="1"/>
  <c r="H304" i="2"/>
  <c r="G304" i="2" s="1"/>
  <c r="H315" i="2"/>
  <c r="G315" i="2" s="1"/>
  <c r="H320" i="2"/>
  <c r="G320" i="2" s="1"/>
  <c r="H331" i="2"/>
  <c r="G331" i="2" s="1"/>
  <c r="H336" i="2"/>
  <c r="G336" i="2" s="1"/>
  <c r="H348" i="2"/>
  <c r="G348" i="2" s="1"/>
  <c r="H351" i="2"/>
  <c r="G351" i="2" s="1"/>
  <c r="H356" i="2"/>
  <c r="G356" i="2" s="1"/>
  <c r="H359" i="2"/>
  <c r="G359" i="2" s="1"/>
  <c r="H364" i="2"/>
  <c r="G364" i="2" s="1"/>
  <c r="H13" i="2"/>
  <c r="G13" i="2" s="1"/>
  <c r="H34" i="2"/>
  <c r="G34" i="2" s="1"/>
  <c r="H56" i="2"/>
  <c r="G56" i="2" s="1"/>
  <c r="H77" i="2"/>
  <c r="G77" i="2" s="1"/>
  <c r="H98" i="2"/>
  <c r="G98" i="2" s="1"/>
  <c r="H120" i="2"/>
  <c r="G120" i="2" s="1"/>
  <c r="H141" i="2"/>
  <c r="G141" i="2" s="1"/>
  <c r="H162" i="2"/>
  <c r="G162" i="2" s="1"/>
  <c r="H182" i="2"/>
  <c r="G182" i="2" s="1"/>
  <c r="H191" i="2"/>
  <c r="G191" i="2" s="1"/>
  <c r="H198" i="2"/>
  <c r="G198" i="2" s="1"/>
  <c r="H205" i="2"/>
  <c r="G205" i="2" s="1"/>
  <c r="H212" i="2"/>
  <c r="G212" i="2" s="1"/>
  <c r="H226" i="2"/>
  <c r="G226" i="2" s="1"/>
  <c r="H241" i="2"/>
  <c r="G241" i="2" s="1"/>
  <c r="H255" i="2"/>
  <c r="G255" i="2" s="1"/>
  <c r="H262" i="2"/>
  <c r="G262" i="2" s="1"/>
  <c r="H269" i="2"/>
  <c r="G269" i="2" s="1"/>
  <c r="H276" i="2"/>
  <c r="G276" i="2" s="1"/>
  <c r="H295" i="2"/>
  <c r="G295" i="2" s="1"/>
  <c r="H300" i="2"/>
  <c r="G300" i="2" s="1"/>
  <c r="H311" i="2"/>
  <c r="G311" i="2" s="1"/>
  <c r="H316" i="2"/>
  <c r="G316" i="2" s="1"/>
  <c r="H327" i="2"/>
  <c r="G327" i="2" s="1"/>
  <c r="H332" i="2"/>
  <c r="G332" i="2" s="1"/>
  <c r="H343" i="2"/>
  <c r="G343" i="2" s="1"/>
  <c r="H346" i="2"/>
  <c r="G346" i="2" s="1"/>
  <c r="H349" i="2"/>
  <c r="G349" i="2" s="1"/>
  <c r="H354" i="2"/>
  <c r="G354" i="2" s="1"/>
  <c r="H357" i="2"/>
  <c r="G357" i="2" s="1"/>
  <c r="H362" i="2"/>
  <c r="G362" i="2" s="1"/>
  <c r="H365" i="2"/>
  <c r="G365" i="2" s="1"/>
  <c r="H18" i="2"/>
  <c r="G18" i="2" s="1"/>
  <c r="H40" i="2"/>
  <c r="G40" i="2" s="1"/>
  <c r="H61" i="2"/>
  <c r="G61" i="2" s="1"/>
  <c r="H82" i="2"/>
  <c r="G82" i="2" s="1"/>
  <c r="H104" i="2"/>
  <c r="G104" i="2" s="1"/>
  <c r="H125" i="2"/>
  <c r="G125" i="2" s="1"/>
  <c r="H146" i="2"/>
  <c r="G146" i="2" s="1"/>
  <c r="H168" i="2"/>
  <c r="G168" i="2" s="1"/>
  <c r="H193" i="2"/>
  <c r="G193" i="2" s="1"/>
  <c r="H207" i="2"/>
  <c r="G207" i="2" s="1"/>
  <c r="H214" i="2"/>
  <c r="G214" i="2" s="1"/>
  <c r="H221" i="2"/>
  <c r="G221" i="2" s="1"/>
  <c r="H228" i="2"/>
  <c r="G228" i="2" s="1"/>
  <c r="H242" i="2"/>
  <c r="G242" i="2" s="1"/>
  <c r="H257" i="2"/>
  <c r="G257" i="2" s="1"/>
  <c r="H271" i="2"/>
  <c r="G271" i="2" s="1"/>
  <c r="H278" i="2"/>
  <c r="G278" i="2" s="1"/>
  <c r="H285" i="2"/>
  <c r="G285" i="2" s="1"/>
  <c r="H291" i="2"/>
  <c r="G291" i="2" s="1"/>
  <c r="H296" i="2"/>
  <c r="G296" i="2" s="1"/>
  <c r="H307" i="2"/>
  <c r="G307" i="2" s="1"/>
  <c r="H312" i="2"/>
  <c r="G312" i="2" s="1"/>
  <c r="H323" i="2"/>
  <c r="G323" i="2" s="1"/>
  <c r="H328" i="2"/>
  <c r="G328" i="2" s="1"/>
  <c r="H339" i="2"/>
  <c r="G339" i="2" s="1"/>
  <c r="H344" i="2"/>
  <c r="G344" i="2" s="1"/>
  <c r="H347" i="2"/>
  <c r="G347" i="2" s="1"/>
  <c r="H352" i="2"/>
  <c r="G352" i="2" s="1"/>
  <c r="H355" i="2"/>
  <c r="G355" i="2" s="1"/>
  <c r="H360" i="2"/>
  <c r="G360" i="2" s="1"/>
  <c r="H363" i="2"/>
  <c r="G363" i="2" s="1"/>
  <c r="H24" i="2"/>
  <c r="G24" i="2" s="1"/>
  <c r="H109" i="2"/>
  <c r="G109" i="2" s="1"/>
  <c r="H244" i="2"/>
  <c r="G244" i="2" s="1"/>
  <c r="H273" i="2"/>
  <c r="G273" i="2" s="1"/>
  <c r="H319" i="2"/>
  <c r="G319" i="2" s="1"/>
  <c r="H340" i="2"/>
  <c r="G340" i="2" s="1"/>
  <c r="H353" i="2"/>
  <c r="G353" i="2" s="1"/>
  <c r="H45" i="2"/>
  <c r="G45" i="2" s="1"/>
  <c r="H130" i="2"/>
  <c r="G130" i="2" s="1"/>
  <c r="H194" i="2"/>
  <c r="G194" i="2" s="1"/>
  <c r="H223" i="2"/>
  <c r="G223" i="2" s="1"/>
  <c r="H303" i="2"/>
  <c r="G303" i="2" s="1"/>
  <c r="H324" i="2"/>
  <c r="G324" i="2" s="1"/>
  <c r="H345" i="2"/>
  <c r="G345" i="2" s="1"/>
  <c r="H6" i="2"/>
  <c r="H66" i="2"/>
  <c r="G66" i="2" s="1"/>
  <c r="H152" i="2"/>
  <c r="G152" i="2" s="1"/>
  <c r="H230" i="2"/>
  <c r="G230" i="2" s="1"/>
  <c r="H258" i="2"/>
  <c r="G258" i="2" s="1"/>
  <c r="H287" i="2"/>
  <c r="G287" i="2" s="1"/>
  <c r="H308" i="2"/>
  <c r="G308" i="2" s="1"/>
  <c r="H358" i="2"/>
  <c r="G358" i="2" s="1"/>
  <c r="H88" i="2"/>
  <c r="G88" i="2" s="1"/>
  <c r="H173" i="2"/>
  <c r="G173" i="2" s="1"/>
  <c r="H209" i="2"/>
  <c r="G209" i="2" s="1"/>
  <c r="H237" i="2"/>
  <c r="G237" i="2" s="1"/>
  <c r="H292" i="2"/>
  <c r="G292" i="2" s="1"/>
  <c r="H335" i="2"/>
  <c r="G335" i="2" s="1"/>
  <c r="H350" i="2"/>
  <c r="G350" i="2" s="1"/>
  <c r="H361" i="2"/>
  <c r="G361" i="2" s="1"/>
  <c r="C22" i="20" l="1"/>
  <c r="C27" i="20" s="1"/>
  <c r="C24" i="20"/>
  <c r="F13" i="19"/>
  <c r="F21" i="19"/>
  <c r="F20" i="19"/>
  <c r="F22" i="19"/>
  <c r="F19" i="19"/>
  <c r="F23" i="19"/>
  <c r="I7" i="2"/>
  <c r="G5" i="19"/>
  <c r="M6" i="2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M175" i="2" s="1"/>
  <c r="M176" i="2" s="1"/>
  <c r="M177" i="2" s="1"/>
  <c r="M178" i="2" s="1"/>
  <c r="M179" i="2" s="1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M203" i="2" s="1"/>
  <c r="M204" i="2" s="1"/>
  <c r="M205" i="2" s="1"/>
  <c r="M206" i="2" s="1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M229" i="2" s="1"/>
  <c r="M230" i="2" s="1"/>
  <c r="M231" i="2" s="1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M256" i="2" s="1"/>
  <c r="M257" i="2" s="1"/>
  <c r="M258" i="2" s="1"/>
  <c r="M259" i="2" s="1"/>
  <c r="M260" i="2" s="1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M283" i="2" s="1"/>
  <c r="M284" i="2" s="1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M311" i="2" s="1"/>
  <c r="M312" i="2" s="1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M330" i="2" s="1"/>
  <c r="M331" i="2" s="1"/>
  <c r="M332" i="2" s="1"/>
  <c r="M333" i="2" s="1"/>
  <c r="M334" i="2" s="1"/>
  <c r="M335" i="2" s="1"/>
  <c r="M336" i="2" s="1"/>
  <c r="M337" i="2" s="1"/>
  <c r="M338" i="2" s="1"/>
  <c r="M339" i="2" s="1"/>
  <c r="M340" i="2" s="1"/>
  <c r="M341" i="2" s="1"/>
  <c r="M342" i="2" s="1"/>
  <c r="M343" i="2" s="1"/>
  <c r="M344" i="2" s="1"/>
  <c r="M345" i="2" s="1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M364" i="2" s="1"/>
  <c r="M365" i="2" s="1"/>
  <c r="G6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C30" i="17"/>
  <c r="C25" i="20" l="1"/>
  <c r="C26" i="20" s="1"/>
  <c r="I8" i="2"/>
  <c r="H5" i="19"/>
  <c r="G6" i="19"/>
  <c r="G11" i="19"/>
  <c r="H6" i="19" l="1"/>
  <c r="H11" i="19"/>
  <c r="I9" i="2"/>
  <c r="I5" i="19"/>
  <c r="I6" i="19" l="1"/>
  <c r="I11" i="19"/>
  <c r="I10" i="2"/>
  <c r="J5" i="19"/>
  <c r="I11" i="2" l="1"/>
  <c r="K5" i="19"/>
  <c r="J6" i="19"/>
  <c r="J11" i="19"/>
  <c r="K6" i="19" l="1"/>
  <c r="K11" i="19"/>
  <c r="I12" i="2"/>
  <c r="L5" i="19"/>
  <c r="L6" i="19" l="1"/>
  <c r="L11" i="19"/>
  <c r="I13" i="2"/>
  <c r="M5" i="19"/>
  <c r="M6" i="19" l="1"/>
  <c r="M11" i="19"/>
  <c r="I14" i="2"/>
  <c r="N5" i="19"/>
  <c r="I15" i="2" l="1"/>
  <c r="O5" i="19"/>
  <c r="N11" i="19"/>
  <c r="N6" i="19"/>
  <c r="O11" i="19" l="1"/>
  <c r="O6" i="19"/>
  <c r="I16" i="2"/>
  <c r="P5" i="19"/>
  <c r="P6" i="19" l="1"/>
  <c r="P11" i="19"/>
  <c r="I17" i="2"/>
  <c r="Q5" i="19"/>
  <c r="Q11" i="19" l="1"/>
  <c r="Q6" i="19"/>
  <c r="I18" i="2"/>
  <c r="R5" i="19"/>
  <c r="I19" i="2" l="1"/>
  <c r="S5" i="19"/>
  <c r="R11" i="19"/>
  <c r="R6" i="19"/>
  <c r="S6" i="19" l="1"/>
  <c r="S11" i="19"/>
  <c r="I20" i="2"/>
  <c r="T5" i="19"/>
  <c r="T6" i="19" l="1"/>
  <c r="T11" i="19"/>
  <c r="I21" i="2"/>
  <c r="U5" i="19"/>
  <c r="U6" i="19" l="1"/>
  <c r="U11" i="19"/>
  <c r="I22" i="2"/>
  <c r="V5" i="19"/>
  <c r="V6" i="19" l="1"/>
  <c r="V11" i="19"/>
  <c r="I23" i="2"/>
  <c r="W5" i="19"/>
  <c r="W6" i="19" l="1"/>
  <c r="W11" i="19"/>
  <c r="I24" i="2"/>
  <c r="X5" i="19"/>
  <c r="X11" i="19" l="1"/>
  <c r="X6" i="19"/>
  <c r="I25" i="2"/>
  <c r="Y5" i="19"/>
  <c r="Y11" i="19" l="1"/>
  <c r="Y6" i="19"/>
  <c r="I26" i="2"/>
  <c r="Z5" i="19"/>
  <c r="Z11" i="19" l="1"/>
  <c r="Z6" i="19"/>
  <c r="I27" i="2"/>
  <c r="AA5" i="19"/>
  <c r="AA6" i="19" l="1"/>
  <c r="AA11" i="19"/>
  <c r="I28" i="2"/>
  <c r="AB5" i="19"/>
  <c r="AB6" i="19" l="1"/>
  <c r="AB11" i="19"/>
  <c r="I29" i="2"/>
  <c r="AC5" i="19"/>
  <c r="AC11" i="19" l="1"/>
  <c r="AC6" i="19"/>
  <c r="I30" i="2"/>
  <c r="AD5" i="19"/>
  <c r="AD11" i="19" l="1"/>
  <c r="AD6" i="19"/>
  <c r="I31" i="2"/>
  <c r="AE5" i="19"/>
  <c r="AE11" i="19" l="1"/>
  <c r="AE6" i="19"/>
  <c r="I32" i="2"/>
  <c r="AF5" i="19"/>
  <c r="AF11" i="19" l="1"/>
  <c r="AF6" i="19"/>
  <c r="I33" i="2"/>
  <c r="AG5" i="19"/>
  <c r="AG11" i="19" l="1"/>
  <c r="AG6" i="19"/>
  <c r="I34" i="2"/>
  <c r="AH5" i="19"/>
  <c r="AH11" i="19" l="1"/>
  <c r="AH6" i="19"/>
  <c r="I35" i="2"/>
  <c r="AI5" i="19"/>
  <c r="AI11" i="19" l="1"/>
  <c r="AI6" i="19"/>
  <c r="I36" i="2"/>
  <c r="AJ5" i="19"/>
  <c r="AJ11" i="19" l="1"/>
  <c r="AJ6" i="19"/>
  <c r="I37" i="2"/>
  <c r="AK5" i="19"/>
  <c r="AK11" i="19" l="1"/>
  <c r="AK6" i="19"/>
  <c r="I38" i="2"/>
  <c r="AL5" i="19"/>
  <c r="AL6" i="19" l="1"/>
  <c r="AL11" i="19"/>
  <c r="I39" i="2"/>
  <c r="AM5" i="19"/>
  <c r="AM6" i="19" l="1"/>
  <c r="AM11" i="19"/>
  <c r="I40" i="2"/>
  <c r="AN5" i="19"/>
  <c r="AN6" i="19" l="1"/>
  <c r="AN11" i="19"/>
  <c r="I41" i="2"/>
  <c r="AO5" i="19"/>
  <c r="AO11" i="19" l="1"/>
  <c r="AO6" i="19"/>
  <c r="I42" i="2"/>
  <c r="AP5" i="19"/>
  <c r="AP11" i="19" l="1"/>
  <c r="AP6" i="19"/>
  <c r="I43" i="2"/>
  <c r="AQ5" i="19"/>
  <c r="AQ6" i="19" l="1"/>
  <c r="AQ11" i="19"/>
  <c r="I44" i="2"/>
  <c r="AR5" i="19"/>
  <c r="I45" i="2" l="1"/>
  <c r="AS5" i="19"/>
  <c r="AR6" i="19"/>
  <c r="AR11" i="19"/>
  <c r="AS6" i="19" l="1"/>
  <c r="AS11" i="19"/>
  <c r="I46" i="2"/>
  <c r="AT5" i="19"/>
  <c r="I47" i="2" l="1"/>
  <c r="AU5" i="19"/>
  <c r="AT6" i="19"/>
  <c r="AT11" i="19"/>
  <c r="AU6" i="19" l="1"/>
  <c r="AU11" i="19"/>
  <c r="I48" i="2"/>
  <c r="AV5" i="19"/>
  <c r="I49" i="2" l="1"/>
  <c r="AW5" i="19"/>
  <c r="AV11" i="19"/>
  <c r="AV6" i="19"/>
  <c r="AW6" i="19" l="1"/>
  <c r="AW11" i="19"/>
  <c r="I50" i="2"/>
  <c r="AX5" i="19"/>
  <c r="AX11" i="19" l="1"/>
  <c r="AX6" i="19"/>
  <c r="I51" i="2"/>
  <c r="AY5" i="19"/>
  <c r="AY6" i="19" l="1"/>
  <c r="AY11" i="19"/>
  <c r="I52" i="2"/>
  <c r="AZ5" i="19"/>
  <c r="AZ6" i="19" l="1"/>
  <c r="AZ11" i="19"/>
  <c r="I53" i="2"/>
  <c r="BA5" i="19"/>
  <c r="BA11" i="19" l="1"/>
  <c r="BA6" i="19"/>
  <c r="I54" i="2"/>
  <c r="BB5" i="19"/>
  <c r="BB11" i="19" l="1"/>
  <c r="BB6" i="19"/>
  <c r="I55" i="2"/>
  <c r="BC5" i="19"/>
  <c r="BC11" i="19" l="1"/>
  <c r="BC6" i="19"/>
  <c r="I56" i="2"/>
  <c r="BD5" i="19"/>
  <c r="BD11" i="19" l="1"/>
  <c r="BD6" i="19"/>
  <c r="I57" i="2"/>
  <c r="BE5" i="19"/>
  <c r="BE6" i="19" l="1"/>
  <c r="BE11" i="19"/>
  <c r="I58" i="2"/>
  <c r="BF5" i="19"/>
  <c r="BF11" i="19" l="1"/>
  <c r="BF6" i="19"/>
  <c r="I59" i="2"/>
  <c r="BG5" i="19"/>
  <c r="BG6" i="19" l="1"/>
  <c r="BG11" i="19"/>
  <c r="I60" i="2"/>
  <c r="BH5" i="19"/>
  <c r="BH11" i="19" l="1"/>
  <c r="BH6" i="19"/>
  <c r="I61" i="2"/>
  <c r="BI5" i="19"/>
  <c r="BI6" i="19" l="1"/>
  <c r="BI11" i="19"/>
  <c r="I62" i="2"/>
  <c r="BJ5" i="19"/>
  <c r="BJ11" i="19" l="1"/>
  <c r="BJ6" i="19"/>
  <c r="I63" i="2"/>
  <c r="BK5" i="19"/>
  <c r="BK11" i="19" l="1"/>
  <c r="BK6" i="19"/>
  <c r="I64" i="2"/>
  <c r="BL5" i="19"/>
  <c r="BL11" i="19" l="1"/>
  <c r="BL6" i="19"/>
  <c r="I65" i="2"/>
  <c r="BM5" i="19"/>
  <c r="BM11" i="19" l="1"/>
  <c r="BM6" i="19"/>
  <c r="I66" i="2"/>
  <c r="BN5" i="19"/>
  <c r="BN11" i="19" l="1"/>
  <c r="BN6" i="19"/>
  <c r="I67" i="2"/>
  <c r="BO5" i="19"/>
  <c r="BO6" i="19" l="1"/>
  <c r="BO11" i="19"/>
  <c r="I68" i="2"/>
  <c r="BP5" i="19"/>
  <c r="BP11" i="19" l="1"/>
  <c r="BP6" i="19"/>
  <c r="I69" i="2"/>
  <c r="BQ5" i="19"/>
  <c r="BQ11" i="19" l="1"/>
  <c r="BQ6" i="19"/>
  <c r="I70" i="2"/>
  <c r="BR5" i="19"/>
  <c r="BR11" i="19" l="1"/>
  <c r="BR6" i="19"/>
  <c r="I71" i="2"/>
  <c r="BS5" i="19"/>
  <c r="BS6" i="19" l="1"/>
  <c r="BS11" i="19"/>
  <c r="I72" i="2"/>
  <c r="BT5" i="19"/>
  <c r="BT11" i="19" l="1"/>
  <c r="BT6" i="19"/>
  <c r="I73" i="2"/>
  <c r="BU5" i="19"/>
  <c r="I74" i="2" l="1"/>
  <c r="BV5" i="19"/>
  <c r="BU6" i="19"/>
  <c r="BU11" i="19"/>
  <c r="BV6" i="19" l="1"/>
  <c r="BV11" i="19"/>
  <c r="I75" i="2"/>
  <c r="BW5" i="19"/>
  <c r="BW11" i="19" l="1"/>
  <c r="BW6" i="19"/>
  <c r="I76" i="2"/>
  <c r="BX5" i="19"/>
  <c r="BX6" i="19" l="1"/>
  <c r="BX11" i="19"/>
  <c r="I77" i="2"/>
  <c r="BY5" i="19"/>
  <c r="BY6" i="19" l="1"/>
  <c r="BY11" i="19"/>
  <c r="I78" i="2"/>
  <c r="BZ5" i="19"/>
  <c r="BZ6" i="19" l="1"/>
  <c r="BZ11" i="19"/>
  <c r="I79" i="2"/>
  <c r="CA5" i="19"/>
  <c r="CA11" i="19" l="1"/>
  <c r="CA6" i="19"/>
  <c r="I80" i="2"/>
  <c r="CB5" i="19"/>
  <c r="CB11" i="19" l="1"/>
  <c r="CB6" i="19"/>
  <c r="I81" i="2"/>
  <c r="CC5" i="19"/>
  <c r="CC6" i="19" l="1"/>
  <c r="CC11" i="19"/>
  <c r="I82" i="2"/>
  <c r="CD5" i="19"/>
  <c r="CD11" i="19" l="1"/>
  <c r="CD6" i="19"/>
  <c r="I83" i="2"/>
  <c r="CE5" i="19"/>
  <c r="CE6" i="19" l="1"/>
  <c r="CE11" i="19"/>
  <c r="I84" i="2"/>
  <c r="CF5" i="19"/>
  <c r="CF6" i="19" l="1"/>
  <c r="CF11" i="19"/>
  <c r="I85" i="2"/>
  <c r="CG5" i="19"/>
  <c r="CG11" i="19" l="1"/>
  <c r="CG6" i="19"/>
  <c r="I86" i="2"/>
  <c r="CH5" i="19"/>
  <c r="CH6" i="19" l="1"/>
  <c r="CH11" i="19"/>
  <c r="I87" i="2"/>
  <c r="CI5" i="19"/>
  <c r="CI6" i="19" l="1"/>
  <c r="CI11" i="19"/>
  <c r="I88" i="2"/>
  <c r="CJ5" i="19"/>
  <c r="CJ6" i="19" l="1"/>
  <c r="CJ11" i="19"/>
  <c r="I89" i="2"/>
  <c r="CK5" i="19"/>
  <c r="CK11" i="19" l="1"/>
  <c r="CK6" i="19"/>
  <c r="I90" i="2"/>
  <c r="CL5" i="19"/>
  <c r="CL6" i="19" l="1"/>
  <c r="CL11" i="19"/>
  <c r="I91" i="2"/>
  <c r="CM5" i="19"/>
  <c r="CM11" i="19" l="1"/>
  <c r="CM6" i="19"/>
  <c r="I92" i="2"/>
  <c r="CN5" i="19"/>
  <c r="CN11" i="19" l="1"/>
  <c r="CN6" i="19"/>
  <c r="I93" i="2"/>
  <c r="CO5" i="19"/>
  <c r="CO6" i="19" l="1"/>
  <c r="CO11" i="19"/>
  <c r="I94" i="2"/>
  <c r="CP5" i="19"/>
  <c r="CP6" i="19" l="1"/>
  <c r="CP11" i="19"/>
  <c r="I95" i="2"/>
  <c r="CQ5" i="19"/>
  <c r="I96" i="2" l="1"/>
  <c r="CR5" i="19"/>
  <c r="CQ6" i="19"/>
  <c r="CQ11" i="19"/>
  <c r="CR6" i="19" l="1"/>
  <c r="CR11" i="19"/>
  <c r="I97" i="2"/>
  <c r="CS5" i="19"/>
  <c r="CS6" i="19" l="1"/>
  <c r="CS11" i="19"/>
  <c r="I98" i="2"/>
  <c r="CT5" i="19"/>
  <c r="CT11" i="19" l="1"/>
  <c r="CT6" i="19"/>
  <c r="I99" i="2"/>
  <c r="CU5" i="19"/>
  <c r="CU11" i="19" l="1"/>
  <c r="CU6" i="19"/>
  <c r="I100" i="2"/>
  <c r="CV5" i="19"/>
  <c r="CV6" i="19" l="1"/>
  <c r="CV11" i="19"/>
  <c r="I101" i="2"/>
  <c r="CW5" i="19"/>
  <c r="CW6" i="19" l="1"/>
  <c r="CW11" i="19"/>
  <c r="I102" i="2"/>
  <c r="CX5" i="19"/>
  <c r="I103" i="2" l="1"/>
  <c r="CY5" i="19"/>
  <c r="CX11" i="19"/>
  <c r="CX6" i="19"/>
  <c r="CY6" i="19" l="1"/>
  <c r="CY11" i="19"/>
  <c r="I104" i="2"/>
  <c r="CZ5" i="19"/>
  <c r="CZ11" i="19" l="1"/>
  <c r="CZ6" i="19"/>
  <c r="I105" i="2"/>
  <c r="DA5" i="19"/>
  <c r="DA11" i="19" l="1"/>
  <c r="DA6" i="19"/>
  <c r="I106" i="2"/>
  <c r="DB5" i="19"/>
  <c r="DB6" i="19" l="1"/>
  <c r="DB11" i="19"/>
  <c r="I107" i="2"/>
  <c r="DC5" i="19"/>
  <c r="DC6" i="19" l="1"/>
  <c r="DC11" i="19"/>
  <c r="I108" i="2"/>
  <c r="DD5" i="19"/>
  <c r="I109" i="2" l="1"/>
  <c r="DE5" i="19"/>
  <c r="DD6" i="19"/>
  <c r="DD11" i="19"/>
  <c r="DE11" i="19" l="1"/>
  <c r="DE6" i="19"/>
  <c r="I110" i="2"/>
  <c r="DF5" i="19"/>
  <c r="DF11" i="19" l="1"/>
  <c r="DF6" i="19"/>
  <c r="I111" i="2"/>
  <c r="DG5" i="19"/>
  <c r="DG6" i="19" l="1"/>
  <c r="DG11" i="19"/>
  <c r="I112" i="2"/>
  <c r="DH5" i="19"/>
  <c r="DH6" i="19" l="1"/>
  <c r="DH11" i="19"/>
  <c r="I113" i="2"/>
  <c r="DI5" i="19"/>
  <c r="I114" i="2" l="1"/>
  <c r="DJ5" i="19"/>
  <c r="DI11" i="19"/>
  <c r="DI6" i="19"/>
  <c r="DJ11" i="19" l="1"/>
  <c r="DJ6" i="19"/>
  <c r="I115" i="2"/>
  <c r="DK5" i="19"/>
  <c r="DK6" i="19" l="1"/>
  <c r="DK11" i="19"/>
  <c r="I116" i="2"/>
  <c r="DL5" i="19"/>
  <c r="DL6" i="19" l="1"/>
  <c r="DL11" i="19"/>
  <c r="I117" i="2"/>
  <c r="DM5" i="19"/>
  <c r="I118" i="2" l="1"/>
  <c r="DN5" i="19"/>
  <c r="DM6" i="19"/>
  <c r="DM11" i="19"/>
  <c r="DN6" i="19" l="1"/>
  <c r="DN11" i="19"/>
  <c r="I119" i="2"/>
  <c r="DO5" i="19"/>
  <c r="DO6" i="19" l="1"/>
  <c r="DO11" i="19"/>
  <c r="I120" i="2"/>
  <c r="DP5" i="19"/>
  <c r="DP6" i="19" l="1"/>
  <c r="DP11" i="19"/>
  <c r="I121" i="2"/>
  <c r="DQ5" i="19"/>
  <c r="DQ11" i="19" l="1"/>
  <c r="DQ6" i="19"/>
  <c r="I122" i="2"/>
  <c r="DR5" i="19"/>
  <c r="DR11" i="19" l="1"/>
  <c r="DR6" i="19"/>
  <c r="I123" i="2"/>
  <c r="DS5" i="19"/>
  <c r="DS6" i="19" l="1"/>
  <c r="DS11" i="19"/>
  <c r="I124" i="2"/>
  <c r="DT5" i="19"/>
  <c r="DT6" i="19" l="1"/>
  <c r="DT11" i="19"/>
  <c r="I125" i="2"/>
  <c r="DU5" i="19"/>
  <c r="I126" i="2" l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I203" i="2" s="1"/>
  <c r="I204" i="2" s="1"/>
  <c r="I205" i="2" s="1"/>
  <c r="I206" i="2" s="1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I229" i="2" s="1"/>
  <c r="I230" i="2" s="1"/>
  <c r="I231" i="2" s="1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I256" i="2" s="1"/>
  <c r="I257" i="2" s="1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I276" i="2" s="1"/>
  <c r="I277" i="2" s="1"/>
  <c r="I278" i="2" s="1"/>
  <c r="I279" i="2" s="1"/>
  <c r="I280" i="2" s="1"/>
  <c r="I281" i="2" s="1"/>
  <c r="I282" i="2" s="1"/>
  <c r="I283" i="2" s="1"/>
  <c r="I284" i="2" s="1"/>
  <c r="I285" i="2" s="1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I311" i="2" s="1"/>
  <c r="I312" i="2" s="1"/>
  <c r="I313" i="2" s="1"/>
  <c r="I314" i="2" s="1"/>
  <c r="I315" i="2" s="1"/>
  <c r="I316" i="2" s="1"/>
  <c r="I317" i="2" s="1"/>
  <c r="I318" i="2" s="1"/>
  <c r="I319" i="2" s="1"/>
  <c r="I320" i="2" s="1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I340" i="2" s="1"/>
  <c r="I341" i="2" s="1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I364" i="2" s="1"/>
  <c r="I365" i="2" s="1"/>
  <c r="DV5" i="19"/>
  <c r="DU6" i="19"/>
  <c r="DU11" i="19"/>
  <c r="DV11" i="19" l="1"/>
  <c r="DV6" i="19"/>
  <c r="C16" i="17" l="1"/>
  <c r="C24" i="17"/>
  <c r="C29" i="17" s="1"/>
  <c r="C32" i="17" s="1"/>
  <c r="C36" i="17" l="1"/>
  <c r="C27" i="17"/>
  <c r="G8" i="19" s="1"/>
  <c r="G20" i="19" s="1"/>
  <c r="C34" i="17"/>
  <c r="C35" i="17"/>
  <c r="G22" i="19" l="1"/>
  <c r="G23" i="19"/>
  <c r="G19" i="19"/>
  <c r="H8" i="19"/>
  <c r="H15" i="19" s="1"/>
  <c r="H16" i="19" s="1"/>
  <c r="G21" i="19"/>
  <c r="G13" i="19"/>
  <c r="G14" i="19" s="1"/>
  <c r="G15" i="19"/>
  <c r="G16" i="19" s="1"/>
  <c r="H19" i="19" l="1"/>
  <c r="H20" i="19"/>
  <c r="I8" i="19"/>
  <c r="I22" i="19" s="1"/>
  <c r="H23" i="19"/>
  <c r="H22" i="19"/>
  <c r="H13" i="19"/>
  <c r="H14" i="19" s="1"/>
  <c r="H21" i="19"/>
  <c r="I15" i="19" l="1"/>
  <c r="I16" i="19" s="1"/>
  <c r="I19" i="19"/>
  <c r="I20" i="19"/>
  <c r="I21" i="19"/>
  <c r="I13" i="19"/>
  <c r="I14" i="19" s="1"/>
  <c r="I23" i="19"/>
  <c r="J8" i="19"/>
  <c r="J13" i="19" s="1"/>
  <c r="J14" i="19" s="1"/>
  <c r="K8" i="19" l="1"/>
  <c r="K13" i="19" s="1"/>
  <c r="K14" i="19" s="1"/>
  <c r="J21" i="19"/>
  <c r="J22" i="19"/>
  <c r="J19" i="19"/>
  <c r="J20" i="19"/>
  <c r="J23" i="19"/>
  <c r="J15" i="19"/>
  <c r="J16" i="19" s="1"/>
  <c r="L8" i="19" l="1"/>
  <c r="L20" i="19" s="1"/>
  <c r="K19" i="19"/>
  <c r="K15" i="19"/>
  <c r="K16" i="19" s="1"/>
  <c r="K20" i="19"/>
  <c r="K22" i="19"/>
  <c r="K21" i="19"/>
  <c r="K23" i="19"/>
  <c r="L13" i="19" l="1"/>
  <c r="L14" i="19" s="1"/>
  <c r="L19" i="19"/>
  <c r="L15" i="19"/>
  <c r="L16" i="19" s="1"/>
  <c r="M8" i="19"/>
  <c r="M13" i="19" s="1"/>
  <c r="M14" i="19" s="1"/>
  <c r="L22" i="19"/>
  <c r="L21" i="19"/>
  <c r="L23" i="19"/>
  <c r="M20" i="19" l="1"/>
  <c r="M21" i="19"/>
  <c r="M23" i="19"/>
  <c r="N8" i="19"/>
  <c r="N15" i="19" s="1"/>
  <c r="N16" i="19" s="1"/>
  <c r="M22" i="19"/>
  <c r="M15" i="19"/>
  <c r="M16" i="19" s="1"/>
  <c r="M19" i="19"/>
  <c r="N22" i="19" l="1"/>
  <c r="N20" i="19"/>
  <c r="N21" i="19"/>
  <c r="N13" i="19"/>
  <c r="N14" i="19" s="1"/>
  <c r="O8" i="19"/>
  <c r="O15" i="19" s="1"/>
  <c r="O16" i="19" s="1"/>
  <c r="N23" i="19"/>
  <c r="N19" i="19"/>
  <c r="O19" i="19" l="1"/>
  <c r="O22" i="19"/>
  <c r="P8" i="19"/>
  <c r="P13" i="19" s="1"/>
  <c r="P14" i="19" s="1"/>
  <c r="O13" i="19"/>
  <c r="O14" i="19" s="1"/>
  <c r="O23" i="19"/>
  <c r="O20" i="19"/>
  <c r="O21" i="19"/>
  <c r="P23" i="19" l="1"/>
  <c r="Q8" i="19"/>
  <c r="Q20" i="19" s="1"/>
  <c r="P21" i="19"/>
  <c r="P22" i="19"/>
  <c r="P19" i="19"/>
  <c r="P15" i="19"/>
  <c r="P16" i="19" s="1"/>
  <c r="P20" i="19"/>
  <c r="Q23" i="19" l="1"/>
  <c r="Q15" i="19"/>
  <c r="Q16" i="19" s="1"/>
  <c r="Q13" i="19"/>
  <c r="Q14" i="19" s="1"/>
  <c r="Q21" i="19"/>
  <c r="R8" i="19"/>
  <c r="R21" i="19" s="1"/>
  <c r="Q19" i="19"/>
  <c r="Q22" i="19"/>
  <c r="R23" i="19" l="1"/>
  <c r="S8" i="19"/>
  <c r="S23" i="19" s="1"/>
  <c r="R19" i="19"/>
  <c r="B11" i="19" s="1"/>
  <c r="R20" i="19"/>
  <c r="R15" i="19"/>
  <c r="R16" i="19" s="1"/>
  <c r="R22" i="19"/>
  <c r="R13" i="19"/>
  <c r="R14" i="19" s="1"/>
  <c r="S20" i="19" l="1"/>
  <c r="S13" i="19"/>
  <c r="S14" i="19" s="1"/>
  <c r="S21" i="19"/>
  <c r="T8" i="19"/>
  <c r="T22" i="19" s="1"/>
  <c r="S22" i="19"/>
  <c r="S15" i="19"/>
  <c r="S16" i="19" s="1"/>
  <c r="B17" i="19"/>
  <c r="C37" i="17" s="1"/>
  <c r="T13" i="19" l="1"/>
  <c r="T14" i="19" s="1"/>
  <c r="T23" i="19"/>
  <c r="T21" i="19"/>
  <c r="T15" i="19"/>
  <c r="T16" i="19" s="1"/>
  <c r="T20" i="19"/>
  <c r="U8" i="19"/>
  <c r="U20" i="19" s="1"/>
  <c r="U15" i="19" l="1"/>
  <c r="U16" i="19" s="1"/>
  <c r="U13" i="19"/>
  <c r="U14" i="19" s="1"/>
  <c r="V8" i="19"/>
  <c r="V20" i="19" s="1"/>
  <c r="U23" i="19"/>
  <c r="U21" i="19"/>
  <c r="U22" i="19"/>
  <c r="V21" i="19" l="1"/>
  <c r="V22" i="19"/>
  <c r="V13" i="19"/>
  <c r="V14" i="19" s="1"/>
  <c r="V23" i="19"/>
  <c r="W8" i="19"/>
  <c r="W21" i="19" s="1"/>
  <c r="V15" i="19"/>
  <c r="V16" i="19" s="1"/>
  <c r="W22" i="19" l="1"/>
  <c r="X8" i="19"/>
  <c r="X20" i="19" s="1"/>
  <c r="W23" i="19"/>
  <c r="W15" i="19"/>
  <c r="W16" i="19" s="1"/>
  <c r="W13" i="19"/>
  <c r="W14" i="19" s="1"/>
  <c r="W20" i="19"/>
  <c r="Y8" i="19" l="1"/>
  <c r="Y23" i="19" s="1"/>
  <c r="X23" i="19"/>
  <c r="X15" i="19"/>
  <c r="X16" i="19" s="1"/>
  <c r="X22" i="19"/>
  <c r="X21" i="19"/>
  <c r="X13" i="19"/>
  <c r="X14" i="19" s="1"/>
  <c r="Y15" i="19" l="1"/>
  <c r="Y16" i="19" s="1"/>
  <c r="Y22" i="19"/>
  <c r="Y21" i="19"/>
  <c r="Z8" i="19"/>
  <c r="Z23" i="19" s="1"/>
  <c r="Y20" i="19"/>
  <c r="Y13" i="19"/>
  <c r="Y14" i="19" s="1"/>
  <c r="Z13" i="19" l="1"/>
  <c r="Z14" i="19" s="1"/>
  <c r="Z21" i="19"/>
  <c r="Z15" i="19"/>
  <c r="Z16" i="19" s="1"/>
  <c r="Z20" i="19"/>
  <c r="AA8" i="19"/>
  <c r="AA22" i="19" s="1"/>
  <c r="Z22" i="19"/>
  <c r="AA15" i="19" l="1"/>
  <c r="AA16" i="19" s="1"/>
  <c r="AB8" i="19"/>
  <c r="AB21" i="19" s="1"/>
  <c r="AA20" i="19"/>
  <c r="AA13" i="19"/>
  <c r="AA14" i="19" s="1"/>
  <c r="AA23" i="19"/>
  <c r="AA21" i="19"/>
  <c r="AC8" i="19" l="1"/>
  <c r="AC23" i="19" s="1"/>
  <c r="AB15" i="19"/>
  <c r="AB16" i="19" s="1"/>
  <c r="AB22" i="19"/>
  <c r="AB13" i="19"/>
  <c r="AB14" i="19" s="1"/>
  <c r="AB23" i="19"/>
  <c r="AB20" i="19"/>
  <c r="AC15" i="19" l="1"/>
  <c r="AC16" i="19" s="1"/>
  <c r="AC22" i="19"/>
  <c r="AC21" i="19"/>
  <c r="AC13" i="19"/>
  <c r="AC14" i="19" s="1"/>
  <c r="AC20" i="19"/>
  <c r="AD8" i="19"/>
  <c r="AD23" i="19" s="1"/>
  <c r="AD20" i="19" l="1"/>
  <c r="AD13" i="19"/>
  <c r="AD14" i="19" s="1"/>
  <c r="AD22" i="19"/>
  <c r="AE8" i="19"/>
  <c r="AE20" i="19" s="1"/>
  <c r="AD15" i="19"/>
  <c r="AD16" i="19" s="1"/>
  <c r="AD21" i="19"/>
  <c r="AE15" i="19" l="1"/>
  <c r="AE16" i="19" s="1"/>
  <c r="AE21" i="19"/>
  <c r="AE13" i="19"/>
  <c r="AE14" i="19" s="1"/>
  <c r="AF8" i="19"/>
  <c r="AG8" i="19" s="1"/>
  <c r="AE22" i="19"/>
  <c r="AE23" i="19"/>
  <c r="AF15" i="19" l="1"/>
  <c r="AF16" i="19" s="1"/>
  <c r="AF22" i="19"/>
  <c r="AF13" i="19"/>
  <c r="AF14" i="19" s="1"/>
  <c r="AF21" i="19"/>
  <c r="AF20" i="19"/>
  <c r="AF23" i="19"/>
  <c r="AG22" i="19"/>
  <c r="AG20" i="19"/>
  <c r="AG21" i="19"/>
  <c r="AG23" i="19"/>
  <c r="AH8" i="19"/>
  <c r="AG13" i="19"/>
  <c r="AG14" i="19" s="1"/>
  <c r="AG15" i="19"/>
  <c r="AG16" i="19" s="1"/>
  <c r="AH22" i="19" l="1"/>
  <c r="AH23" i="19"/>
  <c r="AH21" i="19"/>
  <c r="AH20" i="19"/>
  <c r="AI8" i="19"/>
  <c r="AH13" i="19"/>
  <c r="AH14" i="19" s="1"/>
  <c r="AH15" i="19"/>
  <c r="AH16" i="19" s="1"/>
  <c r="AI22" i="19" l="1"/>
  <c r="AI21" i="19"/>
  <c r="AI20" i="19"/>
  <c r="AI23" i="19"/>
  <c r="AJ8" i="19"/>
  <c r="AI15" i="19"/>
  <c r="AI16" i="19" s="1"/>
  <c r="AI13" i="19"/>
  <c r="AI14" i="19" s="1"/>
  <c r="AJ20" i="19" l="1"/>
  <c r="AJ22" i="19"/>
  <c r="AJ21" i="19"/>
  <c r="AJ23" i="19"/>
  <c r="AK8" i="19"/>
  <c r="AJ15" i="19"/>
  <c r="AJ16" i="19" s="1"/>
  <c r="AJ13" i="19"/>
  <c r="AJ14" i="19" s="1"/>
  <c r="AK22" i="19" l="1"/>
  <c r="AK21" i="19"/>
  <c r="AK20" i="19"/>
  <c r="AK23" i="19"/>
  <c r="AL8" i="19"/>
  <c r="AK13" i="19"/>
  <c r="AK14" i="19" s="1"/>
  <c r="AK15" i="19"/>
  <c r="AK16" i="19" s="1"/>
  <c r="AL23" i="19" l="1"/>
  <c r="AL22" i="19"/>
  <c r="AL21" i="19"/>
  <c r="AL20" i="19"/>
  <c r="AM8" i="19"/>
  <c r="AL13" i="19"/>
  <c r="AL14" i="19" s="1"/>
  <c r="AL15" i="19"/>
  <c r="AL16" i="19" s="1"/>
  <c r="AM23" i="19" l="1"/>
  <c r="AM20" i="19"/>
  <c r="AM21" i="19"/>
  <c r="AM22" i="19"/>
  <c r="AN8" i="19"/>
  <c r="AM13" i="19"/>
  <c r="AM14" i="19" s="1"/>
  <c r="AM15" i="19"/>
  <c r="AM16" i="19" s="1"/>
  <c r="AN20" i="19" l="1"/>
  <c r="AN21" i="19"/>
  <c r="AN22" i="19"/>
  <c r="AO8" i="19"/>
  <c r="AN23" i="19"/>
  <c r="AN13" i="19"/>
  <c r="AN14" i="19" s="1"/>
  <c r="AN15" i="19"/>
  <c r="AN16" i="19" s="1"/>
  <c r="AO22" i="19" l="1"/>
  <c r="AO20" i="19"/>
  <c r="AO23" i="19"/>
  <c r="AO21" i="19"/>
  <c r="AP8" i="19"/>
  <c r="AO13" i="19"/>
  <c r="AO14" i="19" s="1"/>
  <c r="AO15" i="19"/>
  <c r="AO16" i="19" s="1"/>
  <c r="AP20" i="19" l="1"/>
  <c r="B12" i="19" s="1"/>
  <c r="AP22" i="19"/>
  <c r="AP23" i="19"/>
  <c r="AQ8" i="19"/>
  <c r="AP21" i="19"/>
  <c r="AP15" i="19"/>
  <c r="AP16" i="19" s="1"/>
  <c r="AP13" i="19"/>
  <c r="AP14" i="19" s="1"/>
  <c r="AQ23" i="19" l="1"/>
  <c r="AQ22" i="19"/>
  <c r="AQ21" i="19"/>
  <c r="AR8" i="19"/>
  <c r="AQ13" i="19"/>
  <c r="AQ14" i="19" s="1"/>
  <c r="AQ15" i="19"/>
  <c r="AQ16" i="19" s="1"/>
  <c r="AR21" i="19" l="1"/>
  <c r="AR23" i="19"/>
  <c r="AS8" i="19"/>
  <c r="AR22" i="19"/>
  <c r="AR15" i="19"/>
  <c r="AR16" i="19" s="1"/>
  <c r="AR13" i="19"/>
  <c r="AR14" i="19" s="1"/>
  <c r="AS23" i="19" l="1"/>
  <c r="AS22" i="19"/>
  <c r="AS21" i="19"/>
  <c r="AT8" i="19"/>
  <c r="AS15" i="19"/>
  <c r="AS16" i="19" s="1"/>
  <c r="AS13" i="19"/>
  <c r="AS14" i="19" s="1"/>
  <c r="AT21" i="19" l="1"/>
  <c r="AT23" i="19"/>
  <c r="AT22" i="19"/>
  <c r="AU8" i="19"/>
  <c r="AT15" i="19"/>
  <c r="AT16" i="19" s="1"/>
  <c r="AT13" i="19"/>
  <c r="AT14" i="19" s="1"/>
  <c r="AU23" i="19" l="1"/>
  <c r="AU21" i="19"/>
  <c r="AU22" i="19"/>
  <c r="AV8" i="19"/>
  <c r="AU15" i="19"/>
  <c r="AU16" i="19" s="1"/>
  <c r="AU13" i="19"/>
  <c r="AU14" i="19" s="1"/>
  <c r="AV22" i="19" l="1"/>
  <c r="AV23" i="19"/>
  <c r="AV21" i="19"/>
  <c r="AW8" i="19"/>
  <c r="AV13" i="19"/>
  <c r="AV14" i="19" s="1"/>
  <c r="AV15" i="19"/>
  <c r="AV16" i="19" s="1"/>
  <c r="AW22" i="19" l="1"/>
  <c r="AW21" i="19"/>
  <c r="AW23" i="19"/>
  <c r="AX8" i="19"/>
  <c r="AW13" i="19"/>
  <c r="AW14" i="19" s="1"/>
  <c r="AW15" i="19"/>
  <c r="AW16" i="19" s="1"/>
  <c r="AX22" i="19" l="1"/>
  <c r="AX21" i="19"/>
  <c r="AX23" i="19"/>
  <c r="AY8" i="19"/>
  <c r="AX13" i="19"/>
  <c r="AX14" i="19" s="1"/>
  <c r="AX15" i="19"/>
  <c r="AX16" i="19" s="1"/>
  <c r="AY21" i="19" l="1"/>
  <c r="AY23" i="19"/>
  <c r="AZ8" i="19"/>
  <c r="AY22" i="19"/>
  <c r="AY15" i="19"/>
  <c r="AY16" i="19" s="1"/>
  <c r="AY13" i="19"/>
  <c r="AY14" i="19" s="1"/>
  <c r="AZ23" i="19" l="1"/>
  <c r="AZ21" i="19"/>
  <c r="AZ22" i="19"/>
  <c r="BA8" i="19"/>
  <c r="AZ13" i="19"/>
  <c r="AZ14" i="19" s="1"/>
  <c r="AZ15" i="19"/>
  <c r="AZ16" i="19" s="1"/>
  <c r="BA22" i="19" l="1"/>
  <c r="BA21" i="19"/>
  <c r="BA23" i="19"/>
  <c r="BB8" i="19"/>
  <c r="BA15" i="19"/>
  <c r="BA16" i="19" s="1"/>
  <c r="BA13" i="19"/>
  <c r="BA14" i="19" s="1"/>
  <c r="BB22" i="19" l="1"/>
  <c r="BB21" i="19"/>
  <c r="BB23" i="19"/>
  <c r="BC8" i="19"/>
  <c r="BB13" i="19"/>
  <c r="BB14" i="19" s="1"/>
  <c r="BB15" i="19"/>
  <c r="BB16" i="19" s="1"/>
  <c r="BC21" i="19" l="1"/>
  <c r="BC22" i="19"/>
  <c r="BC23" i="19"/>
  <c r="BD8" i="19"/>
  <c r="BC15" i="19"/>
  <c r="BC16" i="19" s="1"/>
  <c r="BC13" i="19"/>
  <c r="BC14" i="19" s="1"/>
  <c r="BD23" i="19" l="1"/>
  <c r="BD21" i="19"/>
  <c r="BD22" i="19"/>
  <c r="BE8" i="19"/>
  <c r="BD13" i="19"/>
  <c r="BD14" i="19" s="1"/>
  <c r="BD15" i="19"/>
  <c r="BD16" i="19" s="1"/>
  <c r="BE23" i="19" l="1"/>
  <c r="BE22" i="19"/>
  <c r="BE21" i="19"/>
  <c r="BF8" i="19"/>
  <c r="BE15" i="19"/>
  <c r="BE16" i="19" s="1"/>
  <c r="BE13" i="19"/>
  <c r="BE14" i="19" s="1"/>
  <c r="BF23" i="19" l="1"/>
  <c r="BF22" i="19"/>
  <c r="BG8" i="19"/>
  <c r="BF21" i="19"/>
  <c r="BF15" i="19"/>
  <c r="BF16" i="19" s="1"/>
  <c r="BF13" i="19"/>
  <c r="BF14" i="19" s="1"/>
  <c r="BG23" i="19" l="1"/>
  <c r="BG22" i="19"/>
  <c r="BG21" i="19"/>
  <c r="BH8" i="19"/>
  <c r="BG15" i="19"/>
  <c r="BG16" i="19" s="1"/>
  <c r="BG13" i="19"/>
  <c r="BG14" i="19" s="1"/>
  <c r="BH23" i="19" l="1"/>
  <c r="BI8" i="19"/>
  <c r="BH21" i="19"/>
  <c r="BH22" i="19"/>
  <c r="BH13" i="19"/>
  <c r="BH14" i="19" s="1"/>
  <c r="BH15" i="19"/>
  <c r="BH16" i="19" s="1"/>
  <c r="BI22" i="19" l="1"/>
  <c r="BI23" i="19"/>
  <c r="BI21" i="19"/>
  <c r="BJ8" i="19"/>
  <c r="BI13" i="19"/>
  <c r="BI14" i="19" s="1"/>
  <c r="BI15" i="19"/>
  <c r="BI16" i="19" s="1"/>
  <c r="BJ22" i="19" l="1"/>
  <c r="BJ21" i="19"/>
  <c r="BJ23" i="19"/>
  <c r="BK8" i="19"/>
  <c r="BJ15" i="19"/>
  <c r="BJ16" i="19" s="1"/>
  <c r="BJ13" i="19"/>
  <c r="BJ14" i="19" s="1"/>
  <c r="BK21" i="19" l="1"/>
  <c r="BK23" i="19"/>
  <c r="BL8" i="19"/>
  <c r="BK22" i="19"/>
  <c r="BK13" i="19"/>
  <c r="BK14" i="19" s="1"/>
  <c r="BK15" i="19"/>
  <c r="BK16" i="19" s="1"/>
  <c r="BL22" i="19" l="1"/>
  <c r="BL23" i="19"/>
  <c r="BL21" i="19"/>
  <c r="BM8" i="19"/>
  <c r="BL15" i="19"/>
  <c r="BL16" i="19" s="1"/>
  <c r="BL13" i="19"/>
  <c r="BL14" i="19" s="1"/>
  <c r="BM23" i="19" l="1"/>
  <c r="BM22" i="19"/>
  <c r="BM21" i="19"/>
  <c r="BN8" i="19"/>
  <c r="BM13" i="19"/>
  <c r="BM14" i="19" s="1"/>
  <c r="BM15" i="19"/>
  <c r="BM16" i="19" s="1"/>
  <c r="BN21" i="19" l="1"/>
  <c r="B13" i="19" s="1"/>
  <c r="BN23" i="19"/>
  <c r="BO8" i="19"/>
  <c r="BN22" i="19"/>
  <c r="BN13" i="19"/>
  <c r="BN14" i="19" s="1"/>
  <c r="BN15" i="19"/>
  <c r="BN16" i="19" s="1"/>
  <c r="BO22" i="19" l="1"/>
  <c r="BP8" i="19"/>
  <c r="BO23" i="19"/>
  <c r="BO15" i="19"/>
  <c r="BO16" i="19" s="1"/>
  <c r="BO13" i="19"/>
  <c r="BO14" i="19" s="1"/>
  <c r="BP23" i="19" l="1"/>
  <c r="BP22" i="19"/>
  <c r="BQ8" i="19"/>
  <c r="BP15" i="19"/>
  <c r="BP16" i="19" s="1"/>
  <c r="BP13" i="19"/>
  <c r="BP14" i="19" s="1"/>
  <c r="BQ23" i="19" l="1"/>
  <c r="BQ22" i="19"/>
  <c r="BR8" i="19"/>
  <c r="BQ15" i="19"/>
  <c r="BQ16" i="19" s="1"/>
  <c r="BQ13" i="19"/>
  <c r="BQ14" i="19" s="1"/>
  <c r="BR22" i="19" l="1"/>
  <c r="BR23" i="19"/>
  <c r="BS8" i="19"/>
  <c r="BR15" i="19"/>
  <c r="BR16" i="19" s="1"/>
  <c r="BR13" i="19"/>
  <c r="BR14" i="19" s="1"/>
  <c r="BS22" i="19" l="1"/>
  <c r="BS23" i="19"/>
  <c r="BT8" i="19"/>
  <c r="BS15" i="19"/>
  <c r="BS16" i="19" s="1"/>
  <c r="BS13" i="19"/>
  <c r="BS14" i="19" s="1"/>
  <c r="BT22" i="19" l="1"/>
  <c r="BU8" i="19"/>
  <c r="BT23" i="19"/>
  <c r="BT15" i="19"/>
  <c r="BT16" i="19" s="1"/>
  <c r="BT13" i="19"/>
  <c r="BT14" i="19" s="1"/>
  <c r="BU22" i="19" l="1"/>
  <c r="BU23" i="19"/>
  <c r="BV8" i="19"/>
  <c r="BU15" i="19"/>
  <c r="BU16" i="19" s="1"/>
  <c r="BU13" i="19"/>
  <c r="BU14" i="19" s="1"/>
  <c r="BV23" i="19" l="1"/>
  <c r="BV22" i="19"/>
  <c r="BW8" i="19"/>
  <c r="BV13" i="19"/>
  <c r="BV14" i="19" s="1"/>
  <c r="BV15" i="19"/>
  <c r="BV16" i="19" s="1"/>
  <c r="BW23" i="19" l="1"/>
  <c r="BW22" i="19"/>
  <c r="BX8" i="19"/>
  <c r="BW13" i="19"/>
  <c r="BW14" i="19" s="1"/>
  <c r="BW15" i="19"/>
  <c r="BW16" i="19" s="1"/>
  <c r="BX23" i="19" l="1"/>
  <c r="BX22" i="19"/>
  <c r="BY8" i="19"/>
  <c r="BX15" i="19"/>
  <c r="BX16" i="19" s="1"/>
  <c r="BX13" i="19"/>
  <c r="BX14" i="19" s="1"/>
  <c r="BY22" i="19" l="1"/>
  <c r="BY23" i="19"/>
  <c r="BZ8" i="19"/>
  <c r="BY13" i="19"/>
  <c r="BY14" i="19" s="1"/>
  <c r="BY15" i="19"/>
  <c r="BY16" i="19" s="1"/>
  <c r="BZ22" i="19" l="1"/>
  <c r="CA8" i="19"/>
  <c r="BZ23" i="19"/>
  <c r="BZ13" i="19"/>
  <c r="BZ14" i="19" s="1"/>
  <c r="BZ15" i="19"/>
  <c r="BZ16" i="19" s="1"/>
  <c r="CA22" i="19" l="1"/>
  <c r="CA23" i="19"/>
  <c r="CB8" i="19"/>
  <c r="CA13" i="19"/>
  <c r="CA14" i="19" s="1"/>
  <c r="CA15" i="19"/>
  <c r="CA16" i="19" s="1"/>
  <c r="CB23" i="19" l="1"/>
  <c r="CB22" i="19"/>
  <c r="CC8" i="19"/>
  <c r="CB13" i="19"/>
  <c r="CB14" i="19" s="1"/>
  <c r="CB15" i="19"/>
  <c r="CB16" i="19" s="1"/>
  <c r="CC23" i="19" l="1"/>
  <c r="CC22" i="19"/>
  <c r="CD8" i="19"/>
  <c r="CC15" i="19"/>
  <c r="CC16" i="19" s="1"/>
  <c r="CC13" i="19"/>
  <c r="CC14" i="19" s="1"/>
  <c r="CD22" i="19" l="1"/>
  <c r="CE8" i="19"/>
  <c r="CD23" i="19"/>
  <c r="CD15" i="19"/>
  <c r="CD16" i="19" s="1"/>
  <c r="CD13" i="19"/>
  <c r="CD14" i="19" s="1"/>
  <c r="CE23" i="19" l="1"/>
  <c r="CE22" i="19"/>
  <c r="CF8" i="19"/>
  <c r="CE15" i="19"/>
  <c r="CE16" i="19" s="1"/>
  <c r="CE13" i="19"/>
  <c r="CE14" i="19" s="1"/>
  <c r="CF23" i="19" l="1"/>
  <c r="CG8" i="19"/>
  <c r="CF22" i="19"/>
  <c r="CF13" i="19"/>
  <c r="CF14" i="19" s="1"/>
  <c r="CF15" i="19"/>
  <c r="CF16" i="19" s="1"/>
  <c r="CG23" i="19" l="1"/>
  <c r="CG22" i="19"/>
  <c r="CH8" i="19"/>
  <c r="CG13" i="19"/>
  <c r="CG14" i="19" s="1"/>
  <c r="CG15" i="19"/>
  <c r="CG16" i="19" s="1"/>
  <c r="CH22" i="19" l="1"/>
  <c r="CI8" i="19"/>
  <c r="CH23" i="19"/>
  <c r="CH15" i="19"/>
  <c r="CH16" i="19" s="1"/>
  <c r="CH13" i="19"/>
  <c r="CH14" i="19" s="1"/>
  <c r="CI23" i="19" l="1"/>
  <c r="CI22" i="19"/>
  <c r="CJ8" i="19"/>
  <c r="CI15" i="19"/>
  <c r="CI16" i="19" s="1"/>
  <c r="CI13" i="19"/>
  <c r="CI14" i="19" s="1"/>
  <c r="CJ23" i="19" l="1"/>
  <c r="CK8" i="19"/>
  <c r="CJ22" i="19"/>
  <c r="CJ13" i="19"/>
  <c r="CJ14" i="19" s="1"/>
  <c r="CJ15" i="19"/>
  <c r="CJ16" i="19" s="1"/>
  <c r="CK23" i="19" l="1"/>
  <c r="CK22" i="19"/>
  <c r="CL8" i="19"/>
  <c r="CK13" i="19"/>
  <c r="CK14" i="19" s="1"/>
  <c r="CK15" i="19"/>
  <c r="CK16" i="19" s="1"/>
  <c r="CL22" i="19" l="1"/>
  <c r="B14" i="19" s="1"/>
  <c r="CL23" i="19"/>
  <c r="CM8" i="19"/>
  <c r="CL15" i="19"/>
  <c r="CL16" i="19" s="1"/>
  <c r="CL13" i="19"/>
  <c r="CL14" i="19" s="1"/>
  <c r="CM23" i="19" l="1"/>
  <c r="CN8" i="19"/>
  <c r="CM13" i="19"/>
  <c r="CM14" i="19" s="1"/>
  <c r="CM15" i="19"/>
  <c r="CM16" i="19" s="1"/>
  <c r="CO8" i="19" l="1"/>
  <c r="CN23" i="19"/>
  <c r="CN13" i="19"/>
  <c r="CN14" i="19" s="1"/>
  <c r="CN15" i="19"/>
  <c r="CN16" i="19" s="1"/>
  <c r="CO23" i="19" l="1"/>
  <c r="CP8" i="19"/>
  <c r="CO13" i="19"/>
  <c r="CO14" i="19" s="1"/>
  <c r="CO15" i="19"/>
  <c r="CO16" i="19" s="1"/>
  <c r="CP23" i="19" l="1"/>
  <c r="CQ8" i="19"/>
  <c r="CP15" i="19"/>
  <c r="CP16" i="19" s="1"/>
  <c r="CP13" i="19"/>
  <c r="CP14" i="19" s="1"/>
  <c r="CQ23" i="19" l="1"/>
  <c r="CR8" i="19"/>
  <c r="CQ13" i="19"/>
  <c r="CQ14" i="19" s="1"/>
  <c r="CQ15" i="19"/>
  <c r="CQ16" i="19" s="1"/>
  <c r="CS8" i="19" l="1"/>
  <c r="CR23" i="19"/>
  <c r="CR15" i="19"/>
  <c r="CR16" i="19" s="1"/>
  <c r="CR13" i="19"/>
  <c r="CR14" i="19" s="1"/>
  <c r="CS23" i="19" l="1"/>
  <c r="CT8" i="19"/>
  <c r="CS13" i="19"/>
  <c r="CS14" i="19" s="1"/>
  <c r="CS15" i="19"/>
  <c r="CS16" i="19" s="1"/>
  <c r="CT23" i="19" l="1"/>
  <c r="CU8" i="19"/>
  <c r="CT15" i="19"/>
  <c r="CT16" i="19" s="1"/>
  <c r="CT13" i="19"/>
  <c r="CT14" i="19" s="1"/>
  <c r="CU23" i="19" l="1"/>
  <c r="CV8" i="19"/>
  <c r="CU13" i="19"/>
  <c r="CU14" i="19" s="1"/>
  <c r="CU15" i="19"/>
  <c r="CU16" i="19" s="1"/>
  <c r="CV23" i="19" l="1"/>
  <c r="CW8" i="19"/>
  <c r="CV15" i="19"/>
  <c r="CV16" i="19" s="1"/>
  <c r="CV13" i="19"/>
  <c r="CV14" i="19" s="1"/>
  <c r="CW23" i="19" l="1"/>
  <c r="CX8" i="19"/>
  <c r="CW13" i="19"/>
  <c r="CW14" i="19" s="1"/>
  <c r="CW15" i="19"/>
  <c r="CW16" i="19" s="1"/>
  <c r="CY8" i="19" l="1"/>
  <c r="CX23" i="19"/>
  <c r="CX13" i="19"/>
  <c r="CX14" i="19" s="1"/>
  <c r="CX15" i="19"/>
  <c r="CX16" i="19" s="1"/>
  <c r="CY23" i="19" l="1"/>
  <c r="CZ8" i="19"/>
  <c r="CY13" i="19"/>
  <c r="CY14" i="19" s="1"/>
  <c r="CY15" i="19"/>
  <c r="CY16" i="19" s="1"/>
  <c r="CZ23" i="19" l="1"/>
  <c r="DA8" i="19"/>
  <c r="CZ13" i="19"/>
  <c r="CZ14" i="19" s="1"/>
  <c r="CZ15" i="19"/>
  <c r="CZ16" i="19" s="1"/>
  <c r="DA23" i="19" l="1"/>
  <c r="DB8" i="19"/>
  <c r="DA13" i="19"/>
  <c r="DA14" i="19" s="1"/>
  <c r="DA15" i="19"/>
  <c r="DA16" i="19" s="1"/>
  <c r="DB23" i="19" l="1"/>
  <c r="DC8" i="19"/>
  <c r="DB15" i="19"/>
  <c r="DB16" i="19" s="1"/>
  <c r="DB13" i="19"/>
  <c r="DB14" i="19" s="1"/>
  <c r="DD8" i="19" l="1"/>
  <c r="DC23" i="19"/>
  <c r="DC15" i="19"/>
  <c r="DC16" i="19" s="1"/>
  <c r="DC13" i="19"/>
  <c r="DC14" i="19" s="1"/>
  <c r="DE8" i="19" l="1"/>
  <c r="DD23" i="19"/>
  <c r="DD13" i="19"/>
  <c r="DD14" i="19" s="1"/>
  <c r="DD15" i="19"/>
  <c r="DD16" i="19" s="1"/>
  <c r="DE23" i="19" l="1"/>
  <c r="DF8" i="19"/>
  <c r="DE13" i="19"/>
  <c r="DE14" i="19" s="1"/>
  <c r="DE15" i="19"/>
  <c r="DE16" i="19" s="1"/>
  <c r="DF23" i="19" l="1"/>
  <c r="DG8" i="19"/>
  <c r="DF13" i="19"/>
  <c r="DF14" i="19" s="1"/>
  <c r="DF15" i="19"/>
  <c r="DF16" i="19" s="1"/>
  <c r="DG23" i="19" l="1"/>
  <c r="DH8" i="19"/>
  <c r="DG13" i="19"/>
  <c r="DG14" i="19" s="1"/>
  <c r="DG15" i="19"/>
  <c r="DG16" i="19" s="1"/>
  <c r="DH23" i="19" l="1"/>
  <c r="DI8" i="19"/>
  <c r="DH15" i="19"/>
  <c r="DH16" i="19" s="1"/>
  <c r="DH13" i="19"/>
  <c r="DH14" i="19" s="1"/>
  <c r="DI23" i="19" l="1"/>
  <c r="DJ8" i="19"/>
  <c r="DI13" i="19"/>
  <c r="DI14" i="19" s="1"/>
  <c r="DI15" i="19"/>
  <c r="DI16" i="19" s="1"/>
  <c r="DJ23" i="19" l="1"/>
  <c r="DK8" i="19"/>
  <c r="DJ13" i="19"/>
  <c r="DJ14" i="19" s="1"/>
  <c r="DJ15" i="19"/>
  <c r="DJ16" i="19" s="1"/>
  <c r="DK23" i="19" l="1"/>
  <c r="DL8" i="19"/>
  <c r="DK13" i="19"/>
  <c r="DK14" i="19" s="1"/>
  <c r="DK15" i="19"/>
  <c r="DK16" i="19" s="1"/>
  <c r="DL23" i="19" l="1"/>
  <c r="DM8" i="19"/>
  <c r="DL13" i="19"/>
  <c r="DL14" i="19" s="1"/>
  <c r="DL15" i="19"/>
  <c r="DL16" i="19" s="1"/>
  <c r="DM23" i="19" l="1"/>
  <c r="DN8" i="19"/>
  <c r="DM13" i="19"/>
  <c r="DM14" i="19" s="1"/>
  <c r="DM15" i="19"/>
  <c r="DM16" i="19" s="1"/>
  <c r="DN23" i="19" l="1"/>
  <c r="DO8" i="19"/>
  <c r="DN13" i="19"/>
  <c r="DN14" i="19" s="1"/>
  <c r="DN15" i="19"/>
  <c r="DN16" i="19" s="1"/>
  <c r="DO23" i="19" l="1"/>
  <c r="DP8" i="19"/>
  <c r="DO13" i="19"/>
  <c r="DO14" i="19" s="1"/>
  <c r="DO15" i="19"/>
  <c r="DO16" i="19" s="1"/>
  <c r="DQ8" i="19" l="1"/>
  <c r="DP23" i="19"/>
  <c r="DP13" i="19"/>
  <c r="DP14" i="19" s="1"/>
  <c r="DP15" i="19"/>
  <c r="DP16" i="19" s="1"/>
  <c r="DQ23" i="19" l="1"/>
  <c r="DR8" i="19"/>
  <c r="DQ15" i="19"/>
  <c r="DQ16" i="19" s="1"/>
  <c r="DQ13" i="19"/>
  <c r="DQ14" i="19" s="1"/>
  <c r="DR23" i="19" l="1"/>
  <c r="DS8" i="19"/>
  <c r="DR13" i="19"/>
  <c r="DR14" i="19" s="1"/>
  <c r="DR15" i="19"/>
  <c r="DR16" i="19" s="1"/>
  <c r="DT8" i="19" l="1"/>
  <c r="DS23" i="19"/>
  <c r="DS13" i="19"/>
  <c r="DS14" i="19" s="1"/>
  <c r="DS15" i="19"/>
  <c r="DS16" i="19" s="1"/>
  <c r="DT23" i="19" l="1"/>
  <c r="DU8" i="19"/>
  <c r="DT15" i="19"/>
  <c r="DT16" i="19" s="1"/>
  <c r="DT13" i="19"/>
  <c r="DT14" i="19" s="1"/>
  <c r="DU23" i="19" l="1"/>
  <c r="DV8" i="19"/>
  <c r="DU15" i="19"/>
  <c r="DU16" i="19" s="1"/>
  <c r="DU13" i="19"/>
  <c r="DU14" i="19" s="1"/>
  <c r="DV23" i="19" l="1"/>
  <c r="B15" i="19" s="1"/>
  <c r="DV13" i="19"/>
  <c r="DV14" i="19" s="1"/>
  <c r="DV15" i="19"/>
  <c r="DV16" i="19" s="1"/>
</calcChain>
</file>

<file path=xl/sharedStrings.xml><?xml version="1.0" encoding="utf-8"?>
<sst xmlns="http://schemas.openxmlformats.org/spreadsheetml/2006/main" count="149" uniqueCount="124">
  <si>
    <t>Gross Monthly Rent</t>
  </si>
  <si>
    <t>GRM</t>
  </si>
  <si>
    <t>Number of Units</t>
  </si>
  <si>
    <t>Benefit from Cosmetics?</t>
  </si>
  <si>
    <t>Structural Soundness?</t>
  </si>
  <si>
    <t>Differentiating Features</t>
  </si>
  <si>
    <t>Total</t>
  </si>
  <si>
    <t>Unit 1</t>
  </si>
  <si>
    <t>Unit 2</t>
  </si>
  <si>
    <t>Unit 3</t>
  </si>
  <si>
    <t>Unit 4</t>
  </si>
  <si>
    <t>Purchase Price</t>
  </si>
  <si>
    <t>Expected Annual Maintenance Costs</t>
  </si>
  <si>
    <t>Needed Repairs/Improvements Cost</t>
  </si>
  <si>
    <t>Monthly NOI</t>
  </si>
  <si>
    <t>Monthly Mortgage Payment</t>
  </si>
  <si>
    <t>Checklist Item</t>
  </si>
  <si>
    <t>Monthly Cash Flow</t>
  </si>
  <si>
    <t>Annual Cash Flow</t>
  </si>
  <si>
    <t>Cap Rate</t>
  </si>
  <si>
    <t>Cash on Cash Return</t>
  </si>
  <si>
    <t>% Down</t>
  </si>
  <si>
    <t>Equity Down</t>
  </si>
  <si>
    <t>Equity</t>
  </si>
  <si>
    <t>Annual NOI</t>
  </si>
  <si>
    <t>Annual Mortgage Payment</t>
  </si>
  <si>
    <t>DSCR</t>
  </si>
  <si>
    <t>Current Annual Taxes</t>
  </si>
  <si>
    <t>Expected Annual Taxes</t>
  </si>
  <si>
    <t>Expected Monthly Taxes</t>
  </si>
  <si>
    <t>Mortgage Rate</t>
  </si>
  <si>
    <t>Loan Size</t>
  </si>
  <si>
    <t>Term</t>
  </si>
  <si>
    <t>Address</t>
  </si>
  <si>
    <t>Neighborhood</t>
  </si>
  <si>
    <t>Link</t>
  </si>
  <si>
    <t>Expected Annual Insurance Cost</t>
  </si>
  <si>
    <t>Expected Monthly Insurance Cost</t>
  </si>
  <si>
    <t>Expected Monthly Maintence Costs</t>
  </si>
  <si>
    <t>Annual Utility Costs Not Covered by Tenant</t>
  </si>
  <si>
    <t>Monthly Utility Costs Not Covered by Tenant</t>
  </si>
  <si>
    <t>Annual Gross Rent</t>
  </si>
  <si>
    <t>First Lease Expiry</t>
  </si>
  <si>
    <t>Bedrooms</t>
  </si>
  <si>
    <t>Date Posted</t>
  </si>
  <si>
    <t>Baths</t>
  </si>
  <si>
    <t>Period</t>
  </si>
  <si>
    <t>Principal Pay</t>
  </si>
  <si>
    <t>Interest Pay</t>
  </si>
  <si>
    <t>Total Payment</t>
  </si>
  <si>
    <t>Principal Outstanding</t>
  </si>
  <si>
    <t>Running Principal Paid</t>
  </si>
  <si>
    <t>Running Interest Paid</t>
  </si>
  <si>
    <t>Running Total Payment</t>
  </si>
  <si>
    <t>Appreciation Assumption</t>
  </si>
  <si>
    <t>Rent Increase Assumption</t>
  </si>
  <si>
    <t>Date</t>
  </si>
  <si>
    <t>Home Value</t>
  </si>
  <si>
    <t>Debt Outstanding</t>
  </si>
  <si>
    <t>Home Equity</t>
  </si>
  <si>
    <t>Rental Cash Flow</t>
  </si>
  <si>
    <t>Principal Paydown</t>
  </si>
  <si>
    <t>Refi Available</t>
  </si>
  <si>
    <t>Refi Down Payment</t>
  </si>
  <si>
    <t>1y IRR</t>
  </si>
  <si>
    <t>3y IRR</t>
  </si>
  <si>
    <t>7y IRR</t>
  </si>
  <si>
    <t>10y IRR</t>
  </si>
  <si>
    <t>1y IRR Stream</t>
  </si>
  <si>
    <t>3y IRR Stream</t>
  </si>
  <si>
    <t>7y IRR Stream</t>
  </si>
  <si>
    <t>10y IRR Stream</t>
  </si>
  <si>
    <t>5y IRR</t>
  </si>
  <si>
    <t>5y IRR Stream</t>
  </si>
  <si>
    <t>Total Return</t>
  </si>
  <si>
    <t>Rolling Annualized</t>
  </si>
  <si>
    <t>1y Total Return</t>
  </si>
  <si>
    <t>200k</t>
  </si>
  <si>
    <t>Accumulated Cash</t>
  </si>
  <si>
    <t>Refi + Accum Cash</t>
  </si>
  <si>
    <t>Lot Size</t>
  </si>
  <si>
    <t>Home SqFt</t>
  </si>
  <si>
    <t>Water</t>
  </si>
  <si>
    <t>Pest</t>
  </si>
  <si>
    <t>Lawn</t>
  </si>
  <si>
    <t>Total Equity PP</t>
  </si>
  <si>
    <t>Donald Cap</t>
  </si>
  <si>
    <t>JJ/BD/JG Equity</t>
  </si>
  <si>
    <t>Unit 5</t>
  </si>
  <si>
    <t>Unit 6</t>
  </si>
  <si>
    <t>Monthly Rent Income</t>
  </si>
  <si>
    <t>Annual Rent Income</t>
  </si>
  <si>
    <t>Taxes</t>
  </si>
  <si>
    <t>Insurance</t>
  </si>
  <si>
    <t>Electricity</t>
  </si>
  <si>
    <t>Garbage</t>
  </si>
  <si>
    <t>Handyman</t>
  </si>
  <si>
    <t>Other</t>
  </si>
  <si>
    <t>Annual Expense</t>
  </si>
  <si>
    <t>Monthly Expense</t>
  </si>
  <si>
    <t>CoC Return</t>
  </si>
  <si>
    <t>Monthly Mtge. Pmt.</t>
  </si>
  <si>
    <t>Annual Mtge. Pmt.</t>
  </si>
  <si>
    <t>Sqft</t>
  </si>
  <si>
    <t>Price/Sqft</t>
  </si>
  <si>
    <t>Jack 401k</t>
  </si>
  <si>
    <t>Alyssa 401k</t>
  </si>
  <si>
    <t>Jack Etrade Cash</t>
  </si>
  <si>
    <t>Jack Etrade Stock</t>
  </si>
  <si>
    <t>Alyssa Robinhood</t>
  </si>
  <si>
    <t>Balance</t>
  </si>
  <si>
    <t>PnL</t>
  </si>
  <si>
    <t>Tax</t>
  </si>
  <si>
    <t>Net Avail</t>
  </si>
  <si>
    <t>Vacancy</t>
  </si>
  <si>
    <t>OpEx</t>
  </si>
  <si>
    <t>Source</t>
  </si>
  <si>
    <t>Stock Buffer</t>
  </si>
  <si>
    <t>Cash Avail</t>
  </si>
  <si>
    <t>Stock Avail</t>
  </si>
  <si>
    <t>Total Avail</t>
  </si>
  <si>
    <t>Down Payment</t>
  </si>
  <si>
    <t>Sticker Price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</si>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</sst>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#,##0.0_);[Red]\(#,##0.0\)"/>
    <numFmt numFmtId="165" formatCode="0.0%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91">
    <xf numFmtId="0" fontId="0" fillId="0" borderId="0" xfId="0"/>
    <xf numFmtId="10" fontId="0" fillId="0" borderId="0" xfId="2" applyNumberFormat="1" applyFont="1"/>
    <xf numFmtId="38" fontId="0" fillId="0" borderId="0" xfId="1" applyNumberFormat="1" applyFont="1"/>
    <xf numFmtId="38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4" xfId="0" applyBorder="1" applyAlignment="1">
      <alignment vertical="center"/>
    </xf>
    <xf numFmtId="38" fontId="2" fillId="2" borderId="5" xfId="1" applyNumberFormat="1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4" fillId="0" borderId="0" xfId="4" applyBorder="1" applyAlignment="1">
      <alignment vertical="center"/>
    </xf>
    <xf numFmtId="10" fontId="2" fillId="2" borderId="5" xfId="3" applyNumberFormat="1" applyBorder="1" applyAlignment="1">
      <alignment vertical="center"/>
    </xf>
    <xf numFmtId="38" fontId="0" fillId="0" borderId="6" xfId="1" applyNumberFormat="1" applyFont="1" applyBorder="1" applyAlignment="1">
      <alignment vertical="center"/>
    </xf>
    <xf numFmtId="38" fontId="2" fillId="2" borderId="12" xfId="1" applyNumberFormat="1" applyFont="1" applyFill="1" applyBorder="1" applyAlignment="1">
      <alignment vertical="center"/>
    </xf>
    <xf numFmtId="38" fontId="2" fillId="2" borderId="1" xfId="1" applyNumberFormat="1" applyFont="1" applyFill="1" applyBorder="1" applyAlignment="1">
      <alignment vertical="center"/>
    </xf>
    <xf numFmtId="9" fontId="0" fillId="0" borderId="0" xfId="2" applyFont="1" applyAlignment="1">
      <alignment vertical="center"/>
    </xf>
    <xf numFmtId="40" fontId="0" fillId="0" borderId="6" xfId="1" applyNumberFormat="1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14" fontId="2" fillId="2" borderId="13" xfId="3" applyNumberFormat="1" applyBorder="1" applyAlignment="1">
      <alignment vertical="center"/>
    </xf>
    <xf numFmtId="14" fontId="2" fillId="2" borderId="14" xfId="3" applyNumberFormat="1" applyBorder="1" applyAlignment="1">
      <alignment vertical="center"/>
    </xf>
    <xf numFmtId="14" fontId="2" fillId="2" borderId="15" xfId="3" applyNumberFormat="1" applyBorder="1" applyAlignment="1">
      <alignment vertical="center"/>
    </xf>
    <xf numFmtId="0" fontId="0" fillId="0" borderId="7" xfId="0" applyBorder="1" applyAlignment="1">
      <alignment vertical="center"/>
    </xf>
    <xf numFmtId="38" fontId="0" fillId="0" borderId="8" xfId="1" applyNumberFormat="1" applyFont="1" applyBorder="1" applyAlignment="1">
      <alignment vertical="center"/>
    </xf>
    <xf numFmtId="38" fontId="0" fillId="0" borderId="0" xfId="1" applyNumberFormat="1" applyFont="1" applyAlignment="1">
      <alignment vertical="center"/>
    </xf>
    <xf numFmtId="0" fontId="0" fillId="0" borderId="9" xfId="0" applyBorder="1" applyAlignment="1">
      <alignment vertical="center"/>
    </xf>
    <xf numFmtId="38" fontId="0" fillId="0" borderId="10" xfId="1" applyNumberFormat="1" applyFont="1" applyBorder="1" applyAlignment="1">
      <alignment vertical="center"/>
    </xf>
    <xf numFmtId="0" fontId="0" fillId="0" borderId="2" xfId="0" applyBorder="1" applyAlignment="1">
      <alignment vertical="center"/>
    </xf>
    <xf numFmtId="38" fontId="0" fillId="0" borderId="3" xfId="1" applyNumberFormat="1" applyFont="1" applyBorder="1" applyAlignment="1">
      <alignment vertical="center"/>
    </xf>
    <xf numFmtId="10" fontId="0" fillId="0" borderId="3" xfId="2" applyNumberFormat="1" applyFont="1" applyBorder="1" applyAlignment="1">
      <alignment vertical="center"/>
    </xf>
    <xf numFmtId="10" fontId="0" fillId="0" borderId="8" xfId="2" applyNumberFormat="1" applyFont="1" applyBorder="1" applyAlignment="1">
      <alignment vertical="center"/>
    </xf>
    <xf numFmtId="0" fontId="0" fillId="0" borderId="0" xfId="0" applyAlignment="1">
      <alignment horizontal="left" vertical="center"/>
    </xf>
    <xf numFmtId="38" fontId="0" fillId="0" borderId="0" xfId="1" applyNumberFormat="1" applyFont="1" applyAlignment="1">
      <alignment horizontal="right" vertical="center"/>
    </xf>
    <xf numFmtId="10" fontId="2" fillId="2" borderId="1" xfId="2" applyNumberFormat="1" applyFont="1" applyFill="1" applyBorder="1" applyAlignment="1">
      <alignment horizontal="right" vertical="center"/>
    </xf>
    <xf numFmtId="38" fontId="2" fillId="2" borderId="1" xfId="1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0" xfId="0" applyNumberFormat="1"/>
    <xf numFmtId="8" fontId="0" fillId="0" borderId="0" xfId="0" applyNumberFormat="1"/>
    <xf numFmtId="14" fontId="2" fillId="2" borderId="1" xfId="1" applyNumberFormat="1" applyFont="1" applyFill="1" applyBorder="1" applyAlignment="1">
      <alignment horizontal="right" vertical="center"/>
    </xf>
    <xf numFmtId="10" fontId="2" fillId="2" borderId="1" xfId="3" applyNumberFormat="1"/>
    <xf numFmtId="0" fontId="0" fillId="3" borderId="0" xfId="0" applyFill="1"/>
    <xf numFmtId="10" fontId="0" fillId="3" borderId="0" xfId="0" applyNumberFormat="1" applyFill="1"/>
    <xf numFmtId="0" fontId="0" fillId="0" borderId="16" xfId="0" applyBorder="1"/>
    <xf numFmtId="14" fontId="0" fillId="0" borderId="16" xfId="0" applyNumberFormat="1" applyBorder="1"/>
    <xf numFmtId="38" fontId="0" fillId="0" borderId="16" xfId="0" applyNumberFormat="1" applyBorder="1"/>
    <xf numFmtId="10" fontId="0" fillId="0" borderId="16" xfId="2" applyNumberFormat="1" applyFont="1" applyBorder="1"/>
    <xf numFmtId="38" fontId="5" fillId="0" borderId="0" xfId="0" applyNumberFormat="1" applyFont="1"/>
    <xf numFmtId="38" fontId="0" fillId="0" borderId="0" xfId="2" applyNumberFormat="1" applyFont="1"/>
    <xf numFmtId="38" fontId="5" fillId="0" borderId="16" xfId="0" applyNumberFormat="1" applyFont="1" applyBorder="1"/>
    <xf numFmtId="38" fontId="0" fillId="0" borderId="16" xfId="2" applyNumberFormat="1" applyFont="1" applyBorder="1"/>
    <xf numFmtId="10" fontId="0" fillId="0" borderId="6" xfId="2" applyNumberFormat="1" applyFont="1" applyBorder="1" applyAlignment="1">
      <alignment vertical="center"/>
    </xf>
    <xf numFmtId="14" fontId="0" fillId="0" borderId="0" xfId="0" applyNumberFormat="1" applyAlignment="1">
      <alignment horizontal="left" vertical="center"/>
    </xf>
    <xf numFmtId="10" fontId="0" fillId="0" borderId="0" xfId="0" applyNumberFormat="1"/>
    <xf numFmtId="10" fontId="0" fillId="0" borderId="0" xfId="0" applyNumberFormat="1" applyAlignment="1">
      <alignment vertical="center"/>
    </xf>
    <xf numFmtId="10" fontId="0" fillId="0" borderId="0" xfId="2" applyNumberFormat="1" applyFont="1" applyBorder="1" applyAlignment="1">
      <alignment vertical="center"/>
    </xf>
    <xf numFmtId="10" fontId="5" fillId="0" borderId="0" xfId="2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38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left" vertical="center" indent="2"/>
    </xf>
    <xf numFmtId="40" fontId="0" fillId="0" borderId="0" xfId="1" applyNumberFormat="1" applyFont="1" applyAlignment="1">
      <alignment horizontal="right" vertical="center"/>
    </xf>
    <xf numFmtId="38" fontId="2" fillId="2" borderId="17" xfId="1" applyNumberFormat="1" applyFont="1" applyFill="1" applyBorder="1" applyAlignment="1">
      <alignment vertical="center"/>
    </xf>
    <xf numFmtId="14" fontId="2" fillId="2" borderId="18" xfId="3" applyNumberFormat="1" applyBorder="1" applyAlignment="1">
      <alignment vertical="center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0" fillId="4" borderId="2" xfId="0" applyFill="1" applyBorder="1"/>
    <xf numFmtId="3" fontId="7" fillId="4" borderId="3" xfId="0" applyNumberFormat="1" applyFont="1" applyFill="1" applyBorder="1" applyAlignment="1">
      <alignment horizontal="center"/>
    </xf>
    <xf numFmtId="0" fontId="0" fillId="4" borderId="4" xfId="0" applyFill="1" applyBorder="1"/>
    <xf numFmtId="165" fontId="7" fillId="4" borderId="6" xfId="2" applyNumberFormat="1" applyFont="1" applyFill="1" applyBorder="1" applyAlignment="1">
      <alignment horizontal="center"/>
    </xf>
    <xf numFmtId="0" fontId="0" fillId="4" borderId="7" xfId="0" applyFill="1" applyBorder="1"/>
    <xf numFmtId="3" fontId="0" fillId="4" borderId="8" xfId="0" applyNumberFormat="1" applyFill="1" applyBorder="1" applyAlignment="1">
      <alignment horizontal="center"/>
    </xf>
    <xf numFmtId="0" fontId="0" fillId="4" borderId="0" xfId="0" applyFill="1" applyAlignment="1">
      <alignment horizontal="center"/>
    </xf>
    <xf numFmtId="3" fontId="6" fillId="4" borderId="3" xfId="0" applyNumberFormat="1" applyFont="1" applyFill="1" applyBorder="1" applyAlignment="1">
      <alignment horizontal="center"/>
    </xf>
    <xf numFmtId="3" fontId="6" fillId="4" borderId="8" xfId="0" applyNumberFormat="1" applyFont="1" applyFill="1" applyBorder="1" applyAlignment="1">
      <alignment horizontal="center"/>
    </xf>
    <xf numFmtId="3" fontId="6" fillId="4" borderId="6" xfId="0" applyNumberFormat="1" applyFont="1" applyFill="1" applyBorder="1" applyAlignment="1">
      <alignment horizontal="center"/>
    </xf>
    <xf numFmtId="3" fontId="0" fillId="4" borderId="3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4" fontId="0" fillId="4" borderId="0" xfId="0" applyNumberFormat="1" applyFill="1" applyAlignment="1">
      <alignment horizontal="center"/>
    </xf>
    <xf numFmtId="165" fontId="3" fillId="5" borderId="19" xfId="2" applyNumberFormat="1" applyFont="1" applyFill="1" applyBorder="1" applyAlignment="1">
      <alignment horizontal="center"/>
    </xf>
    <xf numFmtId="166" fontId="0" fillId="4" borderId="8" xfId="0" applyNumberFormat="1" applyFill="1" applyBorder="1" applyAlignment="1">
      <alignment horizontal="center"/>
    </xf>
    <xf numFmtId="0" fontId="8" fillId="4" borderId="0" xfId="0" applyFont="1" applyFill="1"/>
    <xf numFmtId="165" fontId="3" fillId="4" borderId="6" xfId="2" applyNumberFormat="1" applyFont="1" applyFill="1" applyBorder="1" applyAlignment="1">
      <alignment horizontal="center"/>
    </xf>
    <xf numFmtId="4" fontId="0" fillId="4" borderId="8" xfId="0" applyNumberFormat="1" applyFill="1" applyBorder="1" applyAlignment="1">
      <alignment horizontal="center"/>
    </xf>
    <xf numFmtId="3" fontId="7" fillId="4" borderId="0" xfId="0" applyNumberFormat="1" applyFont="1" applyFill="1" applyAlignment="1">
      <alignment horizontal="center"/>
    </xf>
    <xf numFmtId="165" fontId="0" fillId="4" borderId="0" xfId="2" applyNumberFormat="1" applyFont="1" applyFill="1" applyAlignment="1">
      <alignment horizontal="center"/>
    </xf>
    <xf numFmtId="0" fontId="0" fillId="4" borderId="9" xfId="0" applyFill="1" applyBorder="1"/>
    <xf numFmtId="165" fontId="6" fillId="4" borderId="10" xfId="2" applyNumberFormat="1" applyFont="1" applyFill="1" applyBorder="1" applyAlignment="1">
      <alignment horizontal="center"/>
    </xf>
    <xf numFmtId="3" fontId="9" fillId="4" borderId="6" xfId="0" applyNumberFormat="1" applyFont="1" applyFill="1" applyBorder="1" applyAlignment="1">
      <alignment horizontal="center"/>
    </xf>
    <xf numFmtId="3" fontId="6" fillId="4" borderId="0" xfId="0" applyNumberFormat="1" applyFont="1" applyFill="1" applyAlignment="1">
      <alignment horizontal="center"/>
    </xf>
    <xf numFmtId="165" fontId="6" fillId="4" borderId="0" xfId="2" applyNumberFormat="1" applyFont="1" applyFill="1" applyAlignment="1">
      <alignment horizontal="center"/>
    </xf>
  </cellXfs>
  <cellStyles count="5">
    <cellStyle name="Comma" xfId="1" builtinId="3"/>
    <cellStyle name="Hyperlink" xfId="4" builtinId="8"/>
    <cellStyle name="Input" xfId="3" builtinId="20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Returns'!$E$13</c:f>
              <c:strCache>
                <c:ptCount val="1"/>
                <c:pt idx="0">
                  <c:v>Total Return</c:v>
                </c:pt>
              </c:strCache>
            </c:strRef>
          </c:tx>
          <c:marker>
            <c:symbol val="none"/>
          </c:marker>
          <c:cat>
            <c:numRef>
              <c:f>'Total Returns'!$F$2:$DV$2</c:f>
              <c:numCache>
                <c:formatCode>m/d/yyyy</c:formatCode>
                <c:ptCount val="121"/>
                <c:pt idx="0">
                  <c:v>46081</c:v>
                </c:pt>
                <c:pt idx="1">
                  <c:v>46112</c:v>
                </c:pt>
                <c:pt idx="2">
                  <c:v>46142</c:v>
                </c:pt>
                <c:pt idx="3">
                  <c:v>46173</c:v>
                </c:pt>
                <c:pt idx="4">
                  <c:v>46203</c:v>
                </c:pt>
                <c:pt idx="5">
                  <c:v>46234</c:v>
                </c:pt>
                <c:pt idx="6">
                  <c:v>46265</c:v>
                </c:pt>
                <c:pt idx="7">
                  <c:v>46295</c:v>
                </c:pt>
                <c:pt idx="8">
                  <c:v>46326</c:v>
                </c:pt>
                <c:pt idx="9">
                  <c:v>46356</c:v>
                </c:pt>
                <c:pt idx="10">
                  <c:v>46387</c:v>
                </c:pt>
                <c:pt idx="11">
                  <c:v>46418</c:v>
                </c:pt>
                <c:pt idx="12">
                  <c:v>46446</c:v>
                </c:pt>
                <c:pt idx="13">
                  <c:v>46477</c:v>
                </c:pt>
                <c:pt idx="14">
                  <c:v>46507</c:v>
                </c:pt>
                <c:pt idx="15">
                  <c:v>46538</c:v>
                </c:pt>
                <c:pt idx="16">
                  <c:v>46568</c:v>
                </c:pt>
                <c:pt idx="17">
                  <c:v>46599</c:v>
                </c:pt>
                <c:pt idx="18">
                  <c:v>46630</c:v>
                </c:pt>
                <c:pt idx="19">
                  <c:v>46660</c:v>
                </c:pt>
                <c:pt idx="20">
                  <c:v>46691</c:v>
                </c:pt>
                <c:pt idx="21">
                  <c:v>46721</c:v>
                </c:pt>
                <c:pt idx="22">
                  <c:v>46752</c:v>
                </c:pt>
                <c:pt idx="23">
                  <c:v>46783</c:v>
                </c:pt>
                <c:pt idx="24">
                  <c:v>46812</c:v>
                </c:pt>
                <c:pt idx="25">
                  <c:v>46843</c:v>
                </c:pt>
                <c:pt idx="26">
                  <c:v>46873</c:v>
                </c:pt>
                <c:pt idx="27">
                  <c:v>46904</c:v>
                </c:pt>
                <c:pt idx="28">
                  <c:v>46934</c:v>
                </c:pt>
                <c:pt idx="29">
                  <c:v>46965</c:v>
                </c:pt>
                <c:pt idx="30">
                  <c:v>46996</c:v>
                </c:pt>
                <c:pt idx="31">
                  <c:v>47026</c:v>
                </c:pt>
                <c:pt idx="32">
                  <c:v>47057</c:v>
                </c:pt>
                <c:pt idx="33">
                  <c:v>47087</c:v>
                </c:pt>
                <c:pt idx="34">
                  <c:v>47118</c:v>
                </c:pt>
                <c:pt idx="35">
                  <c:v>47149</c:v>
                </c:pt>
                <c:pt idx="36">
                  <c:v>47177</c:v>
                </c:pt>
                <c:pt idx="37">
                  <c:v>47208</c:v>
                </c:pt>
                <c:pt idx="38">
                  <c:v>47238</c:v>
                </c:pt>
                <c:pt idx="39">
                  <c:v>47269</c:v>
                </c:pt>
                <c:pt idx="40">
                  <c:v>47299</c:v>
                </c:pt>
                <c:pt idx="41">
                  <c:v>47330</c:v>
                </c:pt>
                <c:pt idx="42">
                  <c:v>47361</c:v>
                </c:pt>
                <c:pt idx="43">
                  <c:v>47391</c:v>
                </c:pt>
                <c:pt idx="44">
                  <c:v>47422</c:v>
                </c:pt>
                <c:pt idx="45">
                  <c:v>47452</c:v>
                </c:pt>
                <c:pt idx="46">
                  <c:v>47483</c:v>
                </c:pt>
                <c:pt idx="47">
                  <c:v>47514</c:v>
                </c:pt>
                <c:pt idx="48">
                  <c:v>47542</c:v>
                </c:pt>
                <c:pt idx="49">
                  <c:v>47573</c:v>
                </c:pt>
                <c:pt idx="50">
                  <c:v>47603</c:v>
                </c:pt>
                <c:pt idx="51">
                  <c:v>47634</c:v>
                </c:pt>
                <c:pt idx="52">
                  <c:v>47664</c:v>
                </c:pt>
                <c:pt idx="53">
                  <c:v>47695</c:v>
                </c:pt>
                <c:pt idx="54">
                  <c:v>47726</c:v>
                </c:pt>
                <c:pt idx="55">
                  <c:v>47756</c:v>
                </c:pt>
                <c:pt idx="56">
                  <c:v>47787</c:v>
                </c:pt>
                <c:pt idx="57">
                  <c:v>47817</c:v>
                </c:pt>
                <c:pt idx="58">
                  <c:v>47848</c:v>
                </c:pt>
                <c:pt idx="59">
                  <c:v>47879</c:v>
                </c:pt>
                <c:pt idx="60">
                  <c:v>47907</c:v>
                </c:pt>
                <c:pt idx="61">
                  <c:v>47938</c:v>
                </c:pt>
                <c:pt idx="62">
                  <c:v>47968</c:v>
                </c:pt>
                <c:pt idx="63">
                  <c:v>47999</c:v>
                </c:pt>
                <c:pt idx="64">
                  <c:v>48029</c:v>
                </c:pt>
                <c:pt idx="65">
                  <c:v>48060</c:v>
                </c:pt>
                <c:pt idx="66">
                  <c:v>48091</c:v>
                </c:pt>
                <c:pt idx="67">
                  <c:v>48121</c:v>
                </c:pt>
                <c:pt idx="68">
                  <c:v>48152</c:v>
                </c:pt>
                <c:pt idx="69">
                  <c:v>48182</c:v>
                </c:pt>
                <c:pt idx="70">
                  <c:v>48213</c:v>
                </c:pt>
                <c:pt idx="71">
                  <c:v>48244</c:v>
                </c:pt>
                <c:pt idx="72">
                  <c:v>48273</c:v>
                </c:pt>
                <c:pt idx="73">
                  <c:v>48304</c:v>
                </c:pt>
                <c:pt idx="74">
                  <c:v>48334</c:v>
                </c:pt>
                <c:pt idx="75">
                  <c:v>48365</c:v>
                </c:pt>
                <c:pt idx="76">
                  <c:v>48395</c:v>
                </c:pt>
                <c:pt idx="77">
                  <c:v>48426</c:v>
                </c:pt>
                <c:pt idx="78">
                  <c:v>48457</c:v>
                </c:pt>
                <c:pt idx="79">
                  <c:v>48487</c:v>
                </c:pt>
                <c:pt idx="80">
                  <c:v>48518</c:v>
                </c:pt>
                <c:pt idx="81">
                  <c:v>48548</c:v>
                </c:pt>
                <c:pt idx="82">
                  <c:v>48579</c:v>
                </c:pt>
                <c:pt idx="83">
                  <c:v>48610</c:v>
                </c:pt>
                <c:pt idx="84">
                  <c:v>48638</c:v>
                </c:pt>
                <c:pt idx="85">
                  <c:v>48669</c:v>
                </c:pt>
                <c:pt idx="86">
                  <c:v>48699</c:v>
                </c:pt>
                <c:pt idx="87">
                  <c:v>48730</c:v>
                </c:pt>
                <c:pt idx="88">
                  <c:v>48760</c:v>
                </c:pt>
                <c:pt idx="89">
                  <c:v>48791</c:v>
                </c:pt>
                <c:pt idx="90">
                  <c:v>48822</c:v>
                </c:pt>
                <c:pt idx="91">
                  <c:v>48852</c:v>
                </c:pt>
                <c:pt idx="92">
                  <c:v>48883</c:v>
                </c:pt>
                <c:pt idx="93">
                  <c:v>48913</c:v>
                </c:pt>
                <c:pt idx="94">
                  <c:v>48944</c:v>
                </c:pt>
                <c:pt idx="95">
                  <c:v>48975</c:v>
                </c:pt>
                <c:pt idx="96">
                  <c:v>49003</c:v>
                </c:pt>
                <c:pt idx="97">
                  <c:v>49034</c:v>
                </c:pt>
                <c:pt idx="98">
                  <c:v>49064</c:v>
                </c:pt>
                <c:pt idx="99">
                  <c:v>49095</c:v>
                </c:pt>
                <c:pt idx="100">
                  <c:v>49125</c:v>
                </c:pt>
                <c:pt idx="101">
                  <c:v>49156</c:v>
                </c:pt>
                <c:pt idx="102">
                  <c:v>49187</c:v>
                </c:pt>
                <c:pt idx="103">
                  <c:v>49217</c:v>
                </c:pt>
                <c:pt idx="104">
                  <c:v>49248</c:v>
                </c:pt>
                <c:pt idx="105">
                  <c:v>49278</c:v>
                </c:pt>
                <c:pt idx="106">
                  <c:v>49309</c:v>
                </c:pt>
                <c:pt idx="107">
                  <c:v>49340</c:v>
                </c:pt>
                <c:pt idx="108">
                  <c:v>49368</c:v>
                </c:pt>
                <c:pt idx="109">
                  <c:v>49399</c:v>
                </c:pt>
                <c:pt idx="110">
                  <c:v>49429</c:v>
                </c:pt>
                <c:pt idx="111">
                  <c:v>49460</c:v>
                </c:pt>
                <c:pt idx="112">
                  <c:v>49490</c:v>
                </c:pt>
                <c:pt idx="113">
                  <c:v>49521</c:v>
                </c:pt>
                <c:pt idx="114">
                  <c:v>49552</c:v>
                </c:pt>
                <c:pt idx="115">
                  <c:v>49582</c:v>
                </c:pt>
                <c:pt idx="116">
                  <c:v>49613</c:v>
                </c:pt>
                <c:pt idx="117">
                  <c:v>49643</c:v>
                </c:pt>
                <c:pt idx="118">
                  <c:v>49674</c:v>
                </c:pt>
                <c:pt idx="119">
                  <c:v>49705</c:v>
                </c:pt>
                <c:pt idx="120">
                  <c:v>49734</c:v>
                </c:pt>
              </c:numCache>
            </c:numRef>
          </c:cat>
          <c:val>
            <c:numRef>
              <c:f>'Total Returns'!$F$13:$DV$13</c:f>
              <c:numCache>
                <c:formatCode>0.00%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8-4EA0-BF4C-CB8C3D8B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983936"/>
        <c:axId val="859996160"/>
      </c:lineChart>
      <c:lineChart>
        <c:grouping val="standard"/>
        <c:varyColors val="0"/>
        <c:ser>
          <c:idx val="1"/>
          <c:order val="1"/>
          <c:tx>
            <c:strRef>
              <c:f>'Total Returns'!$E$14</c:f>
              <c:strCache>
                <c:ptCount val="1"/>
                <c:pt idx="0">
                  <c:v>Rolling Annualized</c:v>
                </c:pt>
              </c:strCache>
            </c:strRef>
          </c:tx>
          <c:marker>
            <c:symbol val="none"/>
          </c:marker>
          <c:cat>
            <c:numRef>
              <c:f>'Total Returns'!$F$2:$DV$2</c:f>
              <c:numCache>
                <c:formatCode>m/d/yyyy</c:formatCode>
                <c:ptCount val="121"/>
                <c:pt idx="0">
                  <c:v>46081</c:v>
                </c:pt>
                <c:pt idx="1">
                  <c:v>46112</c:v>
                </c:pt>
                <c:pt idx="2">
                  <c:v>46142</c:v>
                </c:pt>
                <c:pt idx="3">
                  <c:v>46173</c:v>
                </c:pt>
                <c:pt idx="4">
                  <c:v>46203</c:v>
                </c:pt>
                <c:pt idx="5">
                  <c:v>46234</c:v>
                </c:pt>
                <c:pt idx="6">
                  <c:v>46265</c:v>
                </c:pt>
                <c:pt idx="7">
                  <c:v>46295</c:v>
                </c:pt>
                <c:pt idx="8">
                  <c:v>46326</c:v>
                </c:pt>
                <c:pt idx="9">
                  <c:v>46356</c:v>
                </c:pt>
                <c:pt idx="10">
                  <c:v>46387</c:v>
                </c:pt>
                <c:pt idx="11">
                  <c:v>46418</c:v>
                </c:pt>
                <c:pt idx="12">
                  <c:v>46446</c:v>
                </c:pt>
                <c:pt idx="13">
                  <c:v>46477</c:v>
                </c:pt>
                <c:pt idx="14">
                  <c:v>46507</c:v>
                </c:pt>
                <c:pt idx="15">
                  <c:v>46538</c:v>
                </c:pt>
                <c:pt idx="16">
                  <c:v>46568</c:v>
                </c:pt>
                <c:pt idx="17">
                  <c:v>46599</c:v>
                </c:pt>
                <c:pt idx="18">
                  <c:v>46630</c:v>
                </c:pt>
                <c:pt idx="19">
                  <c:v>46660</c:v>
                </c:pt>
                <c:pt idx="20">
                  <c:v>46691</c:v>
                </c:pt>
                <c:pt idx="21">
                  <c:v>46721</c:v>
                </c:pt>
                <c:pt idx="22">
                  <c:v>46752</c:v>
                </c:pt>
                <c:pt idx="23">
                  <c:v>46783</c:v>
                </c:pt>
                <c:pt idx="24">
                  <c:v>46812</c:v>
                </c:pt>
                <c:pt idx="25">
                  <c:v>46843</c:v>
                </c:pt>
                <c:pt idx="26">
                  <c:v>46873</c:v>
                </c:pt>
                <c:pt idx="27">
                  <c:v>46904</c:v>
                </c:pt>
                <c:pt idx="28">
                  <c:v>46934</c:v>
                </c:pt>
                <c:pt idx="29">
                  <c:v>46965</c:v>
                </c:pt>
                <c:pt idx="30">
                  <c:v>46996</c:v>
                </c:pt>
                <c:pt idx="31">
                  <c:v>47026</c:v>
                </c:pt>
                <c:pt idx="32">
                  <c:v>47057</c:v>
                </c:pt>
                <c:pt idx="33">
                  <c:v>47087</c:v>
                </c:pt>
                <c:pt idx="34">
                  <c:v>47118</c:v>
                </c:pt>
                <c:pt idx="35">
                  <c:v>47149</c:v>
                </c:pt>
                <c:pt idx="36">
                  <c:v>47177</c:v>
                </c:pt>
                <c:pt idx="37">
                  <c:v>47208</c:v>
                </c:pt>
                <c:pt idx="38">
                  <c:v>47238</c:v>
                </c:pt>
                <c:pt idx="39">
                  <c:v>47269</c:v>
                </c:pt>
                <c:pt idx="40">
                  <c:v>47299</c:v>
                </c:pt>
                <c:pt idx="41">
                  <c:v>47330</c:v>
                </c:pt>
                <c:pt idx="42">
                  <c:v>47361</c:v>
                </c:pt>
                <c:pt idx="43">
                  <c:v>47391</c:v>
                </c:pt>
                <c:pt idx="44">
                  <c:v>47422</c:v>
                </c:pt>
                <c:pt idx="45">
                  <c:v>47452</c:v>
                </c:pt>
                <c:pt idx="46">
                  <c:v>47483</c:v>
                </c:pt>
                <c:pt idx="47">
                  <c:v>47514</c:v>
                </c:pt>
                <c:pt idx="48">
                  <c:v>47542</c:v>
                </c:pt>
                <c:pt idx="49">
                  <c:v>47573</c:v>
                </c:pt>
                <c:pt idx="50">
                  <c:v>47603</c:v>
                </c:pt>
                <c:pt idx="51">
                  <c:v>47634</c:v>
                </c:pt>
                <c:pt idx="52">
                  <c:v>47664</c:v>
                </c:pt>
                <c:pt idx="53">
                  <c:v>47695</c:v>
                </c:pt>
                <c:pt idx="54">
                  <c:v>47726</c:v>
                </c:pt>
                <c:pt idx="55">
                  <c:v>47756</c:v>
                </c:pt>
                <c:pt idx="56">
                  <c:v>47787</c:v>
                </c:pt>
                <c:pt idx="57">
                  <c:v>47817</c:v>
                </c:pt>
                <c:pt idx="58">
                  <c:v>47848</c:v>
                </c:pt>
                <c:pt idx="59">
                  <c:v>47879</c:v>
                </c:pt>
                <c:pt idx="60">
                  <c:v>47907</c:v>
                </c:pt>
                <c:pt idx="61">
                  <c:v>47938</c:v>
                </c:pt>
                <c:pt idx="62">
                  <c:v>47968</c:v>
                </c:pt>
                <c:pt idx="63">
                  <c:v>47999</c:v>
                </c:pt>
                <c:pt idx="64">
                  <c:v>48029</c:v>
                </c:pt>
                <c:pt idx="65">
                  <c:v>48060</c:v>
                </c:pt>
                <c:pt idx="66">
                  <c:v>48091</c:v>
                </c:pt>
                <c:pt idx="67">
                  <c:v>48121</c:v>
                </c:pt>
                <c:pt idx="68">
                  <c:v>48152</c:v>
                </c:pt>
                <c:pt idx="69">
                  <c:v>48182</c:v>
                </c:pt>
                <c:pt idx="70">
                  <c:v>48213</c:v>
                </c:pt>
                <c:pt idx="71">
                  <c:v>48244</c:v>
                </c:pt>
                <c:pt idx="72">
                  <c:v>48273</c:v>
                </c:pt>
                <c:pt idx="73">
                  <c:v>48304</c:v>
                </c:pt>
                <c:pt idx="74">
                  <c:v>48334</c:v>
                </c:pt>
                <c:pt idx="75">
                  <c:v>48365</c:v>
                </c:pt>
                <c:pt idx="76">
                  <c:v>48395</c:v>
                </c:pt>
                <c:pt idx="77">
                  <c:v>48426</c:v>
                </c:pt>
                <c:pt idx="78">
                  <c:v>48457</c:v>
                </c:pt>
                <c:pt idx="79">
                  <c:v>48487</c:v>
                </c:pt>
                <c:pt idx="80">
                  <c:v>48518</c:v>
                </c:pt>
                <c:pt idx="81">
                  <c:v>48548</c:v>
                </c:pt>
                <c:pt idx="82">
                  <c:v>48579</c:v>
                </c:pt>
                <c:pt idx="83">
                  <c:v>48610</c:v>
                </c:pt>
                <c:pt idx="84">
                  <c:v>48638</c:v>
                </c:pt>
                <c:pt idx="85">
                  <c:v>48669</c:v>
                </c:pt>
                <c:pt idx="86">
                  <c:v>48699</c:v>
                </c:pt>
                <c:pt idx="87">
                  <c:v>48730</c:v>
                </c:pt>
                <c:pt idx="88">
                  <c:v>48760</c:v>
                </c:pt>
                <c:pt idx="89">
                  <c:v>48791</c:v>
                </c:pt>
                <c:pt idx="90">
                  <c:v>48822</c:v>
                </c:pt>
                <c:pt idx="91">
                  <c:v>48852</c:v>
                </c:pt>
                <c:pt idx="92">
                  <c:v>48883</c:v>
                </c:pt>
                <c:pt idx="93">
                  <c:v>48913</c:v>
                </c:pt>
                <c:pt idx="94">
                  <c:v>48944</c:v>
                </c:pt>
                <c:pt idx="95">
                  <c:v>48975</c:v>
                </c:pt>
                <c:pt idx="96">
                  <c:v>49003</c:v>
                </c:pt>
                <c:pt idx="97">
                  <c:v>49034</c:v>
                </c:pt>
                <c:pt idx="98">
                  <c:v>49064</c:v>
                </c:pt>
                <c:pt idx="99">
                  <c:v>49095</c:v>
                </c:pt>
                <c:pt idx="100">
                  <c:v>49125</c:v>
                </c:pt>
                <c:pt idx="101">
                  <c:v>49156</c:v>
                </c:pt>
                <c:pt idx="102">
                  <c:v>49187</c:v>
                </c:pt>
                <c:pt idx="103">
                  <c:v>49217</c:v>
                </c:pt>
                <c:pt idx="104">
                  <c:v>49248</c:v>
                </c:pt>
                <c:pt idx="105">
                  <c:v>49278</c:v>
                </c:pt>
                <c:pt idx="106">
                  <c:v>49309</c:v>
                </c:pt>
                <c:pt idx="107">
                  <c:v>49340</c:v>
                </c:pt>
                <c:pt idx="108">
                  <c:v>49368</c:v>
                </c:pt>
                <c:pt idx="109">
                  <c:v>49399</c:v>
                </c:pt>
                <c:pt idx="110">
                  <c:v>49429</c:v>
                </c:pt>
                <c:pt idx="111">
                  <c:v>49460</c:v>
                </c:pt>
                <c:pt idx="112">
                  <c:v>49490</c:v>
                </c:pt>
                <c:pt idx="113">
                  <c:v>49521</c:v>
                </c:pt>
                <c:pt idx="114">
                  <c:v>49552</c:v>
                </c:pt>
                <c:pt idx="115">
                  <c:v>49582</c:v>
                </c:pt>
                <c:pt idx="116">
                  <c:v>49613</c:v>
                </c:pt>
                <c:pt idx="117">
                  <c:v>49643</c:v>
                </c:pt>
                <c:pt idx="118">
                  <c:v>49674</c:v>
                </c:pt>
                <c:pt idx="119">
                  <c:v>49705</c:v>
                </c:pt>
                <c:pt idx="120">
                  <c:v>49734</c:v>
                </c:pt>
              </c:numCache>
            </c:numRef>
          </c:cat>
          <c:val>
            <c:numRef>
              <c:f>'Total Returns'!$F$14:$DV$14</c:f>
              <c:numCache>
                <c:formatCode>0.00%</c:formatCode>
                <c:ptCount val="1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D8-4EA0-BF4C-CB8C3D8BA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984960"/>
        <c:axId val="859996736"/>
      </c:lineChart>
      <c:dateAx>
        <c:axId val="866983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59996160"/>
        <c:crosses val="autoZero"/>
        <c:auto val="1"/>
        <c:lblOffset val="100"/>
        <c:baseTimeUnit val="months"/>
      </c:dateAx>
      <c:valAx>
        <c:axId val="85999616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866983936"/>
        <c:crosses val="autoZero"/>
        <c:crossBetween val="between"/>
      </c:valAx>
      <c:valAx>
        <c:axId val="859996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866984960"/>
        <c:crosses val="max"/>
        <c:crossBetween val="between"/>
      </c:valAx>
      <c:dateAx>
        <c:axId val="86698496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59996736"/>
        <c:crosses val="autoZero"/>
        <c:auto val="1"/>
        <c:lblOffset val="100"/>
        <c:baseTimeUnit val="months"/>
      </c:date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Returns'!$E$16</c:f>
              <c:strCache>
                <c:ptCount val="1"/>
                <c:pt idx="0">
                  <c:v>Refi + Accum Cash</c:v>
                </c:pt>
              </c:strCache>
            </c:strRef>
          </c:tx>
          <c:marker>
            <c:symbol val="none"/>
          </c:marker>
          <c:cat>
            <c:numRef>
              <c:f>'Total Returns'!$F$2:$DV$2</c:f>
              <c:numCache>
                <c:formatCode>m/d/yyyy</c:formatCode>
                <c:ptCount val="121"/>
                <c:pt idx="0">
                  <c:v>46081</c:v>
                </c:pt>
                <c:pt idx="1">
                  <c:v>46112</c:v>
                </c:pt>
                <c:pt idx="2">
                  <c:v>46142</c:v>
                </c:pt>
                <c:pt idx="3">
                  <c:v>46173</c:v>
                </c:pt>
                <c:pt idx="4">
                  <c:v>46203</c:v>
                </c:pt>
                <c:pt idx="5">
                  <c:v>46234</c:v>
                </c:pt>
                <c:pt idx="6">
                  <c:v>46265</c:v>
                </c:pt>
                <c:pt idx="7">
                  <c:v>46295</c:v>
                </c:pt>
                <c:pt idx="8">
                  <c:v>46326</c:v>
                </c:pt>
                <c:pt idx="9">
                  <c:v>46356</c:v>
                </c:pt>
                <c:pt idx="10">
                  <c:v>46387</c:v>
                </c:pt>
                <c:pt idx="11">
                  <c:v>46418</c:v>
                </c:pt>
                <c:pt idx="12">
                  <c:v>46446</c:v>
                </c:pt>
                <c:pt idx="13">
                  <c:v>46477</c:v>
                </c:pt>
                <c:pt idx="14">
                  <c:v>46507</c:v>
                </c:pt>
                <c:pt idx="15">
                  <c:v>46538</c:v>
                </c:pt>
                <c:pt idx="16">
                  <c:v>46568</c:v>
                </c:pt>
                <c:pt idx="17">
                  <c:v>46599</c:v>
                </c:pt>
                <c:pt idx="18">
                  <c:v>46630</c:v>
                </c:pt>
                <c:pt idx="19">
                  <c:v>46660</c:v>
                </c:pt>
                <c:pt idx="20">
                  <c:v>46691</c:v>
                </c:pt>
                <c:pt idx="21">
                  <c:v>46721</c:v>
                </c:pt>
                <c:pt idx="22">
                  <c:v>46752</c:v>
                </c:pt>
                <c:pt idx="23">
                  <c:v>46783</c:v>
                </c:pt>
                <c:pt idx="24">
                  <c:v>46812</c:v>
                </c:pt>
                <c:pt idx="25">
                  <c:v>46843</c:v>
                </c:pt>
                <c:pt idx="26">
                  <c:v>46873</c:v>
                </c:pt>
                <c:pt idx="27">
                  <c:v>46904</c:v>
                </c:pt>
                <c:pt idx="28">
                  <c:v>46934</c:v>
                </c:pt>
                <c:pt idx="29">
                  <c:v>46965</c:v>
                </c:pt>
                <c:pt idx="30">
                  <c:v>46996</c:v>
                </c:pt>
                <c:pt idx="31">
                  <c:v>47026</c:v>
                </c:pt>
                <c:pt idx="32">
                  <c:v>47057</c:v>
                </c:pt>
                <c:pt idx="33">
                  <c:v>47087</c:v>
                </c:pt>
                <c:pt idx="34">
                  <c:v>47118</c:v>
                </c:pt>
                <c:pt idx="35">
                  <c:v>47149</c:v>
                </c:pt>
                <c:pt idx="36">
                  <c:v>47177</c:v>
                </c:pt>
                <c:pt idx="37">
                  <c:v>47208</c:v>
                </c:pt>
                <c:pt idx="38">
                  <c:v>47238</c:v>
                </c:pt>
                <c:pt idx="39">
                  <c:v>47269</c:v>
                </c:pt>
                <c:pt idx="40">
                  <c:v>47299</c:v>
                </c:pt>
                <c:pt idx="41">
                  <c:v>47330</c:v>
                </c:pt>
                <c:pt idx="42">
                  <c:v>47361</c:v>
                </c:pt>
                <c:pt idx="43">
                  <c:v>47391</c:v>
                </c:pt>
                <c:pt idx="44">
                  <c:v>47422</c:v>
                </c:pt>
                <c:pt idx="45">
                  <c:v>47452</c:v>
                </c:pt>
                <c:pt idx="46">
                  <c:v>47483</c:v>
                </c:pt>
                <c:pt idx="47">
                  <c:v>47514</c:v>
                </c:pt>
                <c:pt idx="48">
                  <c:v>47542</c:v>
                </c:pt>
                <c:pt idx="49">
                  <c:v>47573</c:v>
                </c:pt>
                <c:pt idx="50">
                  <c:v>47603</c:v>
                </c:pt>
                <c:pt idx="51">
                  <c:v>47634</c:v>
                </c:pt>
                <c:pt idx="52">
                  <c:v>47664</c:v>
                </c:pt>
                <c:pt idx="53">
                  <c:v>47695</c:v>
                </c:pt>
                <c:pt idx="54">
                  <c:v>47726</c:v>
                </c:pt>
                <c:pt idx="55">
                  <c:v>47756</c:v>
                </c:pt>
                <c:pt idx="56">
                  <c:v>47787</c:v>
                </c:pt>
                <c:pt idx="57">
                  <c:v>47817</c:v>
                </c:pt>
                <c:pt idx="58">
                  <c:v>47848</c:v>
                </c:pt>
                <c:pt idx="59">
                  <c:v>47879</c:v>
                </c:pt>
                <c:pt idx="60">
                  <c:v>47907</c:v>
                </c:pt>
                <c:pt idx="61">
                  <c:v>47938</c:v>
                </c:pt>
                <c:pt idx="62">
                  <c:v>47968</c:v>
                </c:pt>
                <c:pt idx="63">
                  <c:v>47999</c:v>
                </c:pt>
                <c:pt idx="64">
                  <c:v>48029</c:v>
                </c:pt>
                <c:pt idx="65">
                  <c:v>48060</c:v>
                </c:pt>
                <c:pt idx="66">
                  <c:v>48091</c:v>
                </c:pt>
                <c:pt idx="67">
                  <c:v>48121</c:v>
                </c:pt>
                <c:pt idx="68">
                  <c:v>48152</c:v>
                </c:pt>
                <c:pt idx="69">
                  <c:v>48182</c:v>
                </c:pt>
                <c:pt idx="70">
                  <c:v>48213</c:v>
                </c:pt>
                <c:pt idx="71">
                  <c:v>48244</c:v>
                </c:pt>
                <c:pt idx="72">
                  <c:v>48273</c:v>
                </c:pt>
                <c:pt idx="73">
                  <c:v>48304</c:v>
                </c:pt>
                <c:pt idx="74">
                  <c:v>48334</c:v>
                </c:pt>
                <c:pt idx="75">
                  <c:v>48365</c:v>
                </c:pt>
                <c:pt idx="76">
                  <c:v>48395</c:v>
                </c:pt>
                <c:pt idx="77">
                  <c:v>48426</c:v>
                </c:pt>
                <c:pt idx="78">
                  <c:v>48457</c:v>
                </c:pt>
                <c:pt idx="79">
                  <c:v>48487</c:v>
                </c:pt>
                <c:pt idx="80">
                  <c:v>48518</c:v>
                </c:pt>
                <c:pt idx="81">
                  <c:v>48548</c:v>
                </c:pt>
                <c:pt idx="82">
                  <c:v>48579</c:v>
                </c:pt>
                <c:pt idx="83">
                  <c:v>48610</c:v>
                </c:pt>
                <c:pt idx="84">
                  <c:v>48638</c:v>
                </c:pt>
                <c:pt idx="85">
                  <c:v>48669</c:v>
                </c:pt>
                <c:pt idx="86">
                  <c:v>48699</c:v>
                </c:pt>
                <c:pt idx="87">
                  <c:v>48730</c:v>
                </c:pt>
                <c:pt idx="88">
                  <c:v>48760</c:v>
                </c:pt>
                <c:pt idx="89">
                  <c:v>48791</c:v>
                </c:pt>
                <c:pt idx="90">
                  <c:v>48822</c:v>
                </c:pt>
                <c:pt idx="91">
                  <c:v>48852</c:v>
                </c:pt>
                <c:pt idx="92">
                  <c:v>48883</c:v>
                </c:pt>
                <c:pt idx="93">
                  <c:v>48913</c:v>
                </c:pt>
                <c:pt idx="94">
                  <c:v>48944</c:v>
                </c:pt>
                <c:pt idx="95">
                  <c:v>48975</c:v>
                </c:pt>
                <c:pt idx="96">
                  <c:v>49003</c:v>
                </c:pt>
                <c:pt idx="97">
                  <c:v>49034</c:v>
                </c:pt>
                <c:pt idx="98">
                  <c:v>49064</c:v>
                </c:pt>
                <c:pt idx="99">
                  <c:v>49095</c:v>
                </c:pt>
                <c:pt idx="100">
                  <c:v>49125</c:v>
                </c:pt>
                <c:pt idx="101">
                  <c:v>49156</c:v>
                </c:pt>
                <c:pt idx="102">
                  <c:v>49187</c:v>
                </c:pt>
                <c:pt idx="103">
                  <c:v>49217</c:v>
                </c:pt>
                <c:pt idx="104">
                  <c:v>49248</c:v>
                </c:pt>
                <c:pt idx="105">
                  <c:v>49278</c:v>
                </c:pt>
                <c:pt idx="106">
                  <c:v>49309</c:v>
                </c:pt>
                <c:pt idx="107">
                  <c:v>49340</c:v>
                </c:pt>
                <c:pt idx="108">
                  <c:v>49368</c:v>
                </c:pt>
                <c:pt idx="109">
                  <c:v>49399</c:v>
                </c:pt>
                <c:pt idx="110">
                  <c:v>49429</c:v>
                </c:pt>
                <c:pt idx="111">
                  <c:v>49460</c:v>
                </c:pt>
                <c:pt idx="112">
                  <c:v>49490</c:v>
                </c:pt>
                <c:pt idx="113">
                  <c:v>49521</c:v>
                </c:pt>
                <c:pt idx="114">
                  <c:v>49552</c:v>
                </c:pt>
                <c:pt idx="115">
                  <c:v>49582</c:v>
                </c:pt>
                <c:pt idx="116">
                  <c:v>49613</c:v>
                </c:pt>
                <c:pt idx="117">
                  <c:v>49643</c:v>
                </c:pt>
                <c:pt idx="118">
                  <c:v>49674</c:v>
                </c:pt>
                <c:pt idx="119">
                  <c:v>49705</c:v>
                </c:pt>
                <c:pt idx="120">
                  <c:v>49734</c:v>
                </c:pt>
              </c:numCache>
            </c:numRef>
          </c:cat>
          <c:val>
            <c:numRef>
              <c:f>'Total Returns'!$F$16:$DV$16</c:f>
              <c:numCache>
                <c:formatCode>#,##0_);[Red]\(#,##0\)</c:formatCode>
                <c:ptCount val="121"/>
                <c:pt idx="0">
                  <c:v>-956250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1-4866-9CDF-FBDCAEC85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037696"/>
        <c:axId val="859999040"/>
      </c:lineChart>
      <c:dateAx>
        <c:axId val="867037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859999040"/>
        <c:crosses val="autoZero"/>
        <c:auto val="1"/>
        <c:lblOffset val="100"/>
        <c:baseTimeUnit val="months"/>
      </c:dateAx>
      <c:valAx>
        <c:axId val="859999040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867037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528636</xdr:colOff>
      <xdr:row>24</xdr:row>
      <xdr:rowOff>47624</xdr:rowOff>
    </xdr:from>
    <xdr:to>
      <xdr:col>20</xdr:col>
      <xdr:colOff>161924</xdr:colOff>
      <xdr:row>46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23</xdr:row>
      <xdr:rowOff>171450</xdr:rowOff>
    </xdr:from>
    <xdr:to>
      <xdr:col>9</xdr:col>
      <xdr:colOff>309563</xdr:colOff>
      <xdr:row>46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3CAE-7146-48CF-8091-6F2C339E8975}">
  <sheetPr>
    <tabColor rgb="FF00FF00"/>
  </sheetPr>
  <dimension ref="A1:L27"/>
  <sheetViews>
    <sheetView workbookViewId="0">
      <selection activeCell="I3" sqref="I3"/>
    </sheetView>
  </sheetViews>
  <sheetFormatPr defaultColWidth="9.1328125" defaultRowHeight="14.25" x14ac:dyDescent="0.45"/>
  <cols>
    <col min="1" max="1" width="3" style="64" customWidth="1"/>
    <col min="2" max="2" width="20.265625" style="64" bestFit="1" customWidth="1"/>
    <col min="3" max="3" width="9.1328125" style="65"/>
    <col min="4" max="4" width="4" style="64" customWidth="1"/>
    <col min="5" max="5" width="16.3984375" style="64" bestFit="1" customWidth="1"/>
    <col min="6" max="6" width="6.59765625" style="72" bestFit="1" customWidth="1"/>
    <col min="7" max="10" width="9.1328125" style="64"/>
    <col min="11" max="11" width="9.86328125" style="64" bestFit="1" customWidth="1"/>
    <col min="12" max="16384" width="9.1328125" style="64"/>
  </cols>
  <sheetData>
    <row r="1" spans="1:12" x14ac:dyDescent="0.45">
      <c r="A1" s="81" t="s">
        <v>33</v>
      </c>
    </row>
    <row r="2" spans="1:12" ht="14.65" thickBot="1" x14ac:dyDescent="0.5"/>
    <row r="3" spans="1:12" ht="14.65" thickBot="1" x14ac:dyDescent="0.5">
      <c r="B3" s="66" t="s">
        <v>11</v>
      </c>
      <c r="C3" s="67">
        <v>1275000</v>
      </c>
      <c r="E3" s="66" t="s">
        <v>92</v>
      </c>
      <c r="F3" s="73">
        <v>15000</v>
      </c>
      <c r="H3" s="86" t="s">
        <v>114</v>
      </c>
      <c r="I3" s="87">
        <v>0.05</v>
      </c>
      <c r="K3" s="66" t="s">
        <v>103</v>
      </c>
      <c r="L3" s="67">
        <v>0</v>
      </c>
    </row>
    <row r="4" spans="1:12" ht="14.65" thickBot="1" x14ac:dyDescent="0.5">
      <c r="B4" s="68" t="s">
        <v>21</v>
      </c>
      <c r="C4" s="69">
        <v>0.25</v>
      </c>
      <c r="E4" s="70" t="s">
        <v>93</v>
      </c>
      <c r="F4" s="74">
        <v>2500</v>
      </c>
      <c r="K4" s="68" t="s">
        <v>104</v>
      </c>
      <c r="L4" s="77" t="e">
        <f>C3/L3</f>
        <v>#DIV/0!</v>
      </c>
    </row>
    <row r="5" spans="1:12" ht="14.65" thickBot="1" x14ac:dyDescent="0.5">
      <c r="B5" s="70" t="s">
        <v>22</v>
      </c>
      <c r="C5" s="71">
        <f>C3*C4</f>
        <v>318750</v>
      </c>
      <c r="K5" s="70" t="s">
        <v>1</v>
      </c>
      <c r="L5" s="80">
        <f>C3/C15</f>
        <v>12.957317073170731</v>
      </c>
    </row>
    <row r="6" spans="1:12" ht="14.65" thickBot="1" x14ac:dyDescent="0.5">
      <c r="E6" s="66" t="s">
        <v>82</v>
      </c>
      <c r="F6" s="73">
        <v>0</v>
      </c>
    </row>
    <row r="7" spans="1:12" x14ac:dyDescent="0.45">
      <c r="B7" s="66" t="s">
        <v>7</v>
      </c>
      <c r="C7" s="73">
        <v>2050</v>
      </c>
      <c r="E7" s="68" t="s">
        <v>94</v>
      </c>
      <c r="F7" s="75">
        <v>0</v>
      </c>
    </row>
    <row r="8" spans="1:12" x14ac:dyDescent="0.45">
      <c r="B8" s="68" t="s">
        <v>8</v>
      </c>
      <c r="C8" s="75">
        <v>2050</v>
      </c>
      <c r="E8" s="68" t="s">
        <v>95</v>
      </c>
      <c r="F8" s="75">
        <v>0</v>
      </c>
    </row>
    <row r="9" spans="1:12" x14ac:dyDescent="0.45">
      <c r="B9" s="68" t="s">
        <v>9</v>
      </c>
      <c r="C9" s="75">
        <v>2050</v>
      </c>
      <c r="E9" s="68" t="s">
        <v>84</v>
      </c>
      <c r="F9" s="75">
        <v>0</v>
      </c>
    </row>
    <row r="10" spans="1:12" x14ac:dyDescent="0.45">
      <c r="B10" s="68" t="s">
        <v>10</v>
      </c>
      <c r="C10" s="75">
        <v>2050</v>
      </c>
      <c r="E10" s="68" t="s">
        <v>96</v>
      </c>
      <c r="F10" s="75">
        <v>0</v>
      </c>
    </row>
    <row r="11" spans="1:12" x14ac:dyDescent="0.45">
      <c r="B11" s="68" t="s">
        <v>88</v>
      </c>
      <c r="C11" s="75">
        <v>0</v>
      </c>
      <c r="E11" s="68" t="s">
        <v>97</v>
      </c>
      <c r="F11" s="75">
        <v>0</v>
      </c>
    </row>
    <row r="12" spans="1:12" ht="14.65" thickBot="1" x14ac:dyDescent="0.5">
      <c r="B12" s="70" t="s">
        <v>89</v>
      </c>
      <c r="C12" s="74">
        <v>0</v>
      </c>
      <c r="E12" s="68" t="s">
        <v>114</v>
      </c>
      <c r="F12" s="88">
        <f>SUM(C7:C12)*I3*12</f>
        <v>4920</v>
      </c>
    </row>
    <row r="13" spans="1:12" ht="14.65" thickBot="1" x14ac:dyDescent="0.5">
      <c r="E13" s="70" t="s">
        <v>115</v>
      </c>
      <c r="F13" s="71">
        <f>SUM(F6:F12)</f>
        <v>4920</v>
      </c>
    </row>
    <row r="14" spans="1:12" ht="14.65" thickBot="1" x14ac:dyDescent="0.5">
      <c r="B14" s="66" t="s">
        <v>90</v>
      </c>
      <c r="C14" s="76">
        <f>SUM(C7:C12)</f>
        <v>8200</v>
      </c>
    </row>
    <row r="15" spans="1:12" ht="14.65" thickBot="1" x14ac:dyDescent="0.5">
      <c r="B15" s="70" t="s">
        <v>91</v>
      </c>
      <c r="C15" s="71">
        <f>C14*12</f>
        <v>98400</v>
      </c>
      <c r="E15" s="66" t="s">
        <v>99</v>
      </c>
      <c r="F15" s="76">
        <f>F16/12</f>
        <v>1868.3333333333333</v>
      </c>
    </row>
    <row r="16" spans="1:12" ht="14.65" thickBot="1" x14ac:dyDescent="0.5">
      <c r="E16" s="70" t="s">
        <v>98</v>
      </c>
      <c r="F16" s="71">
        <f>F3+F4+F13</f>
        <v>22420</v>
      </c>
    </row>
    <row r="17" spans="2:6" x14ac:dyDescent="0.45">
      <c r="B17" s="66" t="s">
        <v>14</v>
      </c>
      <c r="C17" s="76">
        <f>C14-F15</f>
        <v>6331.666666666667</v>
      </c>
    </row>
    <row r="18" spans="2:6" ht="14.65" thickBot="1" x14ac:dyDescent="0.5">
      <c r="B18" s="68" t="s">
        <v>24</v>
      </c>
      <c r="C18" s="77">
        <f>C15-F16</f>
        <v>75980</v>
      </c>
    </row>
    <row r="19" spans="2:6" ht="14.65" thickBot="1" x14ac:dyDescent="0.5">
      <c r="B19" s="70" t="s">
        <v>19</v>
      </c>
      <c r="C19" s="79">
        <f>C18/C3</f>
        <v>5.9592156862745098E-2</v>
      </c>
    </row>
    <row r="20" spans="2:6" ht="14.65" thickBot="1" x14ac:dyDescent="0.5"/>
    <row r="21" spans="2:6" x14ac:dyDescent="0.45">
      <c r="B21" s="66" t="s">
        <v>101</v>
      </c>
      <c r="C21" s="76">
        <f>'Mortgage and Ammortization'!B6</f>
        <v>6202.2192984335588</v>
      </c>
      <c r="F21" s="78"/>
    </row>
    <row r="22" spans="2:6" ht="14.65" thickBot="1" x14ac:dyDescent="0.5">
      <c r="B22" s="70" t="s">
        <v>102</v>
      </c>
      <c r="C22" s="71">
        <f>C21*12</f>
        <v>74426.631581202702</v>
      </c>
    </row>
    <row r="23" spans="2:6" ht="14.65" thickBot="1" x14ac:dyDescent="0.5"/>
    <row r="24" spans="2:6" x14ac:dyDescent="0.45">
      <c r="B24" s="66" t="s">
        <v>17</v>
      </c>
      <c r="C24" s="76">
        <f>C17-C21</f>
        <v>129.44736823310814</v>
      </c>
    </row>
    <row r="25" spans="2:6" x14ac:dyDescent="0.45">
      <c r="B25" s="68" t="s">
        <v>18</v>
      </c>
      <c r="C25" s="77">
        <f>C18-C22</f>
        <v>1553.3684187972976</v>
      </c>
    </row>
    <row r="26" spans="2:6" x14ac:dyDescent="0.45">
      <c r="B26" s="68" t="s">
        <v>100</v>
      </c>
      <c r="C26" s="82">
        <f>C25/C5</f>
        <v>4.8733126864228945E-3</v>
      </c>
    </row>
    <row r="27" spans="2:6" ht="14.65" thickBot="1" x14ac:dyDescent="0.5">
      <c r="B27" s="70" t="s">
        <v>26</v>
      </c>
      <c r="C27" s="83">
        <f>C18/C22</f>
        <v>1.0208711369276804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C812-C371-4855-B030-F6D0CC5C5570}">
  <dimension ref="B2:F21"/>
  <sheetViews>
    <sheetView tabSelected="1" workbookViewId="0">
      <selection activeCell="F16" sqref="F16"/>
    </sheetView>
  </sheetViews>
  <sheetFormatPr defaultColWidth="9.1328125" defaultRowHeight="14.25" x14ac:dyDescent="0.45"/>
  <cols>
    <col min="1" max="1" width="9.1328125" style="64"/>
    <col min="2" max="2" width="16.86328125" style="64" bestFit="1" customWidth="1"/>
    <col min="3" max="3" width="8.6640625" style="72" bestFit="1" customWidth="1"/>
    <col min="4" max="4" width="7.19921875" style="64" bestFit="1" customWidth="1"/>
    <col min="5" max="5" width="6.19921875" style="64" bestFit="1" customWidth="1"/>
    <col min="6" max="16384" width="9.1328125" style="64"/>
  </cols>
  <sheetData>
    <row r="2" spans="2:6" x14ac:dyDescent="0.45">
      <c r="B2" s="72" t="s">
        <v>116</v>
      </c>
      <c r="C2" s="72" t="s">
        <v>110</v>
      </c>
      <c r="D2" s="72" t="s">
        <v>111</v>
      </c>
      <c r="E2" s="72" t="s">
        <v>112</v>
      </c>
      <c r="F2" s="72" t="s">
        <v>113</v>
      </c>
    </row>
    <row r="3" spans="2:6" x14ac:dyDescent="0.45">
      <c r="B3" s="72" t="s">
        <v>105</v>
      </c>
      <c r="C3" s="84">
        <v>50000</v>
      </c>
      <c r="D3" s="72"/>
      <c r="E3" s="72"/>
      <c r="F3" s="72"/>
    </row>
    <row r="4" spans="2:6" x14ac:dyDescent="0.45">
      <c r="B4" s="72" t="s">
        <v>106</v>
      </c>
      <c r="C4" s="84">
        <v>50000</v>
      </c>
      <c r="D4" s="72"/>
      <c r="E4" s="72"/>
      <c r="F4" s="72"/>
    </row>
    <row r="5" spans="2:6" x14ac:dyDescent="0.45">
      <c r="B5" s="72" t="s">
        <v>107</v>
      </c>
      <c r="C5" s="84">
        <v>400000</v>
      </c>
      <c r="D5" s="72"/>
      <c r="E5" s="72"/>
      <c r="F5" s="72"/>
    </row>
    <row r="6" spans="2:6" x14ac:dyDescent="0.45">
      <c r="B6" s="72" t="s">
        <v>108</v>
      </c>
      <c r="C6" s="84">
        <v>561836</v>
      </c>
      <c r="D6" s="84">
        <v>138713</v>
      </c>
      <c r="E6" s="65">
        <f>D6*20%</f>
        <v>27742.600000000002</v>
      </c>
      <c r="F6" s="65">
        <f>C6-E6</f>
        <v>534093.4</v>
      </c>
    </row>
    <row r="7" spans="2:6" x14ac:dyDescent="0.45">
      <c r="B7" s="72" t="s">
        <v>109</v>
      </c>
      <c r="C7" s="84">
        <v>90000</v>
      </c>
      <c r="D7" s="84">
        <v>36000</v>
      </c>
      <c r="E7" s="65">
        <f>D7*20%</f>
        <v>7200</v>
      </c>
      <c r="F7" s="65">
        <f>C7-E7</f>
        <v>82800</v>
      </c>
    </row>
    <row r="9" spans="2:6" x14ac:dyDescent="0.45">
      <c r="B9" s="64" t="s">
        <v>118</v>
      </c>
      <c r="C9" s="65">
        <f>C3+C4+C5</f>
        <v>500000</v>
      </c>
    </row>
    <row r="10" spans="2:6" x14ac:dyDescent="0.45">
      <c r="B10" s="64" t="s">
        <v>117</v>
      </c>
      <c r="C10" s="89">
        <v>250000</v>
      </c>
    </row>
    <row r="11" spans="2:6" x14ac:dyDescent="0.45">
      <c r="B11" s="64" t="s">
        <v>119</v>
      </c>
      <c r="C11" s="65">
        <f>F6-C10</f>
        <v>284093.40000000002</v>
      </c>
    </row>
    <row r="12" spans="2:6" x14ac:dyDescent="0.45">
      <c r="B12" s="64" t="s">
        <v>123</v>
      </c>
      <c r="C12" s="89">
        <v>0</v>
      </c>
    </row>
    <row r="13" spans="2:6" x14ac:dyDescent="0.45">
      <c r="B13" s="64" t="s">
        <v>120</v>
      </c>
      <c r="C13" s="65">
        <f>C9+C11+C12</f>
        <v>784093.4</v>
      </c>
    </row>
    <row r="14" spans="2:6" x14ac:dyDescent="0.45">
      <c r="B14" s="64" t="s">
        <v>121</v>
      </c>
      <c r="C14" s="90">
        <v>0.25</v>
      </c>
    </row>
    <row r="15" spans="2:6" x14ac:dyDescent="0.45">
      <c r="B15" s="64" t="s">
        <v>122</v>
      </c>
      <c r="C15" s="65">
        <f>C13/C14</f>
        <v>3136373.6</v>
      </c>
    </row>
    <row r="16" spans="2:6" x14ac:dyDescent="0.45">
      <c r="C16" s="65"/>
    </row>
    <row r="18" spans="3:3" x14ac:dyDescent="0.45">
      <c r="C18" s="65"/>
    </row>
    <row r="19" spans="3:3" x14ac:dyDescent="0.45">
      <c r="C19" s="65"/>
    </row>
    <row r="20" spans="3:3" x14ac:dyDescent="0.45">
      <c r="C20" s="65"/>
    </row>
    <row r="21" spans="3:3" x14ac:dyDescent="0.45">
      <c r="C21" s="8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A1:M365"/>
  <sheetViews>
    <sheetView workbookViewId="0">
      <selection activeCell="B5" sqref="B5"/>
    </sheetView>
  </sheetViews>
  <sheetFormatPr defaultColWidth="9.1328125" defaultRowHeight="14.25" x14ac:dyDescent="0.45"/>
  <cols>
    <col min="1" max="1" width="26.1328125" style="33" bestFit="1" customWidth="1"/>
    <col min="2" max="2" width="9.86328125" style="37" bestFit="1" customWidth="1"/>
    <col min="3" max="3" width="9.1328125" style="33"/>
    <col min="4" max="4" width="6.86328125" bestFit="1" customWidth="1"/>
    <col min="5" max="5" width="10.73046875" bestFit="1" customWidth="1"/>
    <col min="6" max="6" width="12.265625" bestFit="1" customWidth="1"/>
    <col min="7" max="7" width="11.59765625" style="2" bestFit="1" customWidth="1"/>
    <col min="8" max="8" width="13.86328125" bestFit="1" customWidth="1"/>
    <col min="9" max="9" width="20.265625" bestFit="1" customWidth="1"/>
    <col min="10" max="10" width="9.1328125" style="33"/>
    <col min="11" max="11" width="21" bestFit="1" customWidth="1"/>
    <col min="12" max="12" width="20.265625" bestFit="1" customWidth="1"/>
    <col min="13" max="13" width="21.86328125" bestFit="1" customWidth="1"/>
    <col min="14" max="16384" width="9.1328125" style="33"/>
  </cols>
  <sheetData>
    <row r="1" spans="1:13" x14ac:dyDescent="0.45">
      <c r="A1" s="33" t="s">
        <v>11</v>
      </c>
      <c r="B1" s="34">
        <f>'Alyssa Screening'!C3</f>
        <v>1275000</v>
      </c>
      <c r="E1" s="2"/>
    </row>
    <row r="2" spans="1:13" x14ac:dyDescent="0.45">
      <c r="A2" s="33" t="s">
        <v>23</v>
      </c>
      <c r="B2" s="34">
        <f>'Alyssa Screening'!C5</f>
        <v>318750</v>
      </c>
      <c r="E2" s="2"/>
    </row>
    <row r="3" spans="1:13" x14ac:dyDescent="0.45">
      <c r="A3" s="33" t="s">
        <v>31</v>
      </c>
      <c r="B3" s="34">
        <f>B1-B2</f>
        <v>956250</v>
      </c>
    </row>
    <row r="4" spans="1:13" x14ac:dyDescent="0.45">
      <c r="A4" s="33" t="s">
        <v>30</v>
      </c>
      <c r="B4" s="35">
        <v>6.7500000000000004E-2</v>
      </c>
      <c r="D4" t="s">
        <v>46</v>
      </c>
      <c r="F4" t="s">
        <v>47</v>
      </c>
      <c r="G4" t="s">
        <v>48</v>
      </c>
      <c r="H4" s="2" t="s">
        <v>49</v>
      </c>
      <c r="I4" t="s">
        <v>50</v>
      </c>
      <c r="K4" t="s">
        <v>51</v>
      </c>
      <c r="L4" t="s">
        <v>52</v>
      </c>
      <c r="M4" t="s">
        <v>53</v>
      </c>
    </row>
    <row r="5" spans="1:13" x14ac:dyDescent="0.45">
      <c r="A5" s="33" t="s">
        <v>32</v>
      </c>
      <c r="B5" s="36">
        <v>360</v>
      </c>
      <c r="D5">
        <v>0</v>
      </c>
      <c r="E5" s="40">
        <f ca="1">EOMONTH(TODAY(),1)</f>
        <v>46081</v>
      </c>
      <c r="F5" s="39"/>
      <c r="G5"/>
      <c r="H5" s="2"/>
      <c r="I5" s="3">
        <f>$B$3</f>
        <v>956250</v>
      </c>
    </row>
    <row r="6" spans="1:13" x14ac:dyDescent="0.45">
      <c r="A6" s="33" t="s">
        <v>15</v>
      </c>
      <c r="B6" s="61">
        <f>PMT((B4/12),B5,-B3,0)</f>
        <v>6202.2192984335588</v>
      </c>
      <c r="D6">
        <v>1</v>
      </c>
      <c r="E6" s="38">
        <f ca="1">EOMONTH(E5,1)</f>
        <v>46112</v>
      </c>
      <c r="F6" s="2">
        <f>PPMT($B$4/12,D6,$B$5,-$B$3,0)</f>
        <v>823.31304843355781</v>
      </c>
      <c r="G6" s="3">
        <f>H6-F6</f>
        <v>5378.9062500000009</v>
      </c>
      <c r="H6" s="2">
        <f>$B$6</f>
        <v>6202.2192984335588</v>
      </c>
      <c r="I6" s="3">
        <f>I5-F6</f>
        <v>955426.68695156649</v>
      </c>
      <c r="K6" s="39">
        <f>F6</f>
        <v>823.31304843355781</v>
      </c>
      <c r="L6" s="39">
        <f>G6</f>
        <v>5378.9062500000009</v>
      </c>
      <c r="M6" s="39">
        <f>H6</f>
        <v>6202.2192984335588</v>
      </c>
    </row>
    <row r="7" spans="1:13" x14ac:dyDescent="0.45">
      <c r="A7" s="33" t="s">
        <v>25</v>
      </c>
      <c r="B7" s="34">
        <f>B6*12</f>
        <v>74426.631581202702</v>
      </c>
      <c r="D7">
        <f>D6+1</f>
        <v>2</v>
      </c>
      <c r="E7" s="38">
        <f t="shared" ref="E7:E70" ca="1" si="0">EOMONTH(E6,1)</f>
        <v>46142</v>
      </c>
      <c r="F7" s="2">
        <f t="shared" ref="F7:F70" si="1">PPMT($B$4/12,D7,$B$5,-$B$3,0)</f>
        <v>827.94418433099645</v>
      </c>
      <c r="G7" s="3">
        <f t="shared" ref="G7:G70" si="2">H7-F7</f>
        <v>5374.2751141025619</v>
      </c>
      <c r="H7" s="2">
        <f t="shared" ref="H7:H70" si="3">$B$6</f>
        <v>6202.2192984335588</v>
      </c>
      <c r="I7" s="3">
        <f t="shared" ref="I7:I70" si="4">I6-F7</f>
        <v>954598.7427672355</v>
      </c>
      <c r="K7" s="39">
        <f t="shared" ref="K7:K23" si="5">K6+F7</f>
        <v>1651.2572327645544</v>
      </c>
      <c r="L7" s="39">
        <f t="shared" ref="L7:M22" si="6">L6+G7</f>
        <v>10753.181364102562</v>
      </c>
      <c r="M7" s="39">
        <f t="shared" si="6"/>
        <v>12404.438596867118</v>
      </c>
    </row>
    <row r="8" spans="1:13" x14ac:dyDescent="0.45">
      <c r="D8">
        <f t="shared" ref="D8:D71" si="7">D7+1</f>
        <v>3</v>
      </c>
      <c r="E8" s="38">
        <f t="shared" ca="1" si="0"/>
        <v>46173</v>
      </c>
      <c r="F8" s="2">
        <f t="shared" si="1"/>
        <v>832.60137036785864</v>
      </c>
      <c r="G8" s="3">
        <f t="shared" si="2"/>
        <v>5369.6179280656997</v>
      </c>
      <c r="H8" s="2">
        <f t="shared" si="3"/>
        <v>6202.2192984335588</v>
      </c>
      <c r="I8" s="3">
        <f t="shared" si="4"/>
        <v>953766.14139686769</v>
      </c>
      <c r="K8" s="39">
        <f t="shared" si="5"/>
        <v>2483.858603132413</v>
      </c>
      <c r="L8" s="39">
        <f t="shared" si="6"/>
        <v>16122.799292168262</v>
      </c>
      <c r="M8" s="39">
        <f t="shared" si="6"/>
        <v>18606.657895300676</v>
      </c>
    </row>
    <row r="9" spans="1:13" x14ac:dyDescent="0.45">
      <c r="D9">
        <f t="shared" si="7"/>
        <v>4</v>
      </c>
      <c r="E9" s="38">
        <f t="shared" ca="1" si="0"/>
        <v>46203</v>
      </c>
      <c r="F9" s="2">
        <f t="shared" si="1"/>
        <v>837.28475307617782</v>
      </c>
      <c r="G9" s="3">
        <f t="shared" si="2"/>
        <v>5364.9345453573806</v>
      </c>
      <c r="H9" s="2">
        <f t="shared" si="3"/>
        <v>6202.2192984335588</v>
      </c>
      <c r="I9" s="3">
        <f t="shared" si="4"/>
        <v>952928.85664379154</v>
      </c>
      <c r="K9" s="39">
        <f t="shared" si="5"/>
        <v>3321.1433562085908</v>
      </c>
      <c r="L9" s="39">
        <f t="shared" si="6"/>
        <v>21487.733837525644</v>
      </c>
      <c r="M9" s="39">
        <f t="shared" si="6"/>
        <v>24808.877193734235</v>
      </c>
    </row>
    <row r="10" spans="1:13" x14ac:dyDescent="0.45">
      <c r="D10">
        <f t="shared" si="7"/>
        <v>5</v>
      </c>
      <c r="E10" s="38">
        <f t="shared" ca="1" si="0"/>
        <v>46234</v>
      </c>
      <c r="F10" s="2">
        <f t="shared" si="1"/>
        <v>841.99447981223113</v>
      </c>
      <c r="G10" s="3">
        <f t="shared" si="2"/>
        <v>5360.2248186213274</v>
      </c>
      <c r="H10" s="2">
        <f t="shared" si="3"/>
        <v>6202.2192984335588</v>
      </c>
      <c r="I10" s="3">
        <f t="shared" si="4"/>
        <v>952086.86216397933</v>
      </c>
      <c r="K10" s="39">
        <f t="shared" si="5"/>
        <v>4163.1378360208219</v>
      </c>
      <c r="L10" s="39">
        <f t="shared" si="6"/>
        <v>26847.95865614697</v>
      </c>
      <c r="M10" s="39">
        <f t="shared" si="6"/>
        <v>31011.096492167795</v>
      </c>
    </row>
    <row r="11" spans="1:13" x14ac:dyDescent="0.45">
      <c r="D11">
        <f t="shared" si="7"/>
        <v>6</v>
      </c>
      <c r="E11" s="38">
        <f t="shared" ca="1" si="0"/>
        <v>46265</v>
      </c>
      <c r="F11" s="2">
        <f t="shared" si="1"/>
        <v>846.73069876117506</v>
      </c>
      <c r="G11" s="3">
        <f t="shared" si="2"/>
        <v>5355.4885996723842</v>
      </c>
      <c r="H11" s="2">
        <f t="shared" si="3"/>
        <v>6202.2192984335588</v>
      </c>
      <c r="I11" s="3">
        <f t="shared" si="4"/>
        <v>951240.13146521815</v>
      </c>
      <c r="K11" s="39">
        <f t="shared" si="5"/>
        <v>5009.8685347819974</v>
      </c>
      <c r="L11" s="39">
        <f t="shared" si="6"/>
        <v>32203.447255819352</v>
      </c>
      <c r="M11" s="39">
        <f t="shared" si="6"/>
        <v>37213.315790601351</v>
      </c>
    </row>
    <row r="12" spans="1:13" x14ac:dyDescent="0.45">
      <c r="D12">
        <f t="shared" si="7"/>
        <v>7</v>
      </c>
      <c r="E12" s="38">
        <f t="shared" ca="1" si="0"/>
        <v>46295</v>
      </c>
      <c r="F12" s="2">
        <f t="shared" si="1"/>
        <v>851.49355894170651</v>
      </c>
      <c r="G12" s="3">
        <f t="shared" si="2"/>
        <v>5350.7257394918524</v>
      </c>
      <c r="H12" s="2">
        <f t="shared" si="3"/>
        <v>6202.2192984335588</v>
      </c>
      <c r="I12" s="3">
        <f t="shared" si="4"/>
        <v>950388.63790627639</v>
      </c>
      <c r="K12" s="39">
        <f t="shared" si="5"/>
        <v>5861.3620937237038</v>
      </c>
      <c r="L12" s="39">
        <f t="shared" si="6"/>
        <v>37554.172995311208</v>
      </c>
      <c r="M12" s="39">
        <f t="shared" si="6"/>
        <v>43415.535089034907</v>
      </c>
    </row>
    <row r="13" spans="1:13" x14ac:dyDescent="0.45">
      <c r="D13">
        <f t="shared" si="7"/>
        <v>8</v>
      </c>
      <c r="E13" s="38">
        <f t="shared" ca="1" si="0"/>
        <v>46326</v>
      </c>
      <c r="F13" s="2">
        <f t="shared" si="1"/>
        <v>856.28321021075374</v>
      </c>
      <c r="G13" s="3">
        <f t="shared" si="2"/>
        <v>5345.9360882228048</v>
      </c>
      <c r="H13" s="2">
        <f t="shared" si="3"/>
        <v>6202.2192984335588</v>
      </c>
      <c r="I13" s="3">
        <f t="shared" si="4"/>
        <v>949532.35469606565</v>
      </c>
      <c r="K13" s="39">
        <f t="shared" si="5"/>
        <v>6717.6453039344578</v>
      </c>
      <c r="L13" s="39">
        <f t="shared" si="6"/>
        <v>42900.109083534015</v>
      </c>
      <c r="M13" s="39">
        <f t="shared" si="6"/>
        <v>49617.754387468463</v>
      </c>
    </row>
    <row r="14" spans="1:13" x14ac:dyDescent="0.45">
      <c r="D14">
        <f t="shared" si="7"/>
        <v>9</v>
      </c>
      <c r="E14" s="38">
        <f t="shared" ca="1" si="0"/>
        <v>46356</v>
      </c>
      <c r="F14" s="2">
        <f t="shared" si="1"/>
        <v>861.09980326818913</v>
      </c>
      <c r="G14" s="3">
        <f t="shared" si="2"/>
        <v>5341.1194951653697</v>
      </c>
      <c r="H14" s="2">
        <f t="shared" si="3"/>
        <v>6202.2192984335588</v>
      </c>
      <c r="I14" s="3">
        <f t="shared" si="4"/>
        <v>948671.25489279744</v>
      </c>
      <c r="K14" s="39">
        <f t="shared" si="5"/>
        <v>7578.745107202647</v>
      </c>
      <c r="L14" s="39">
        <f t="shared" si="6"/>
        <v>48241.228578699382</v>
      </c>
      <c r="M14" s="39">
        <f t="shared" si="6"/>
        <v>55819.973685902019</v>
      </c>
    </row>
    <row r="15" spans="1:13" x14ac:dyDescent="0.45">
      <c r="D15">
        <f t="shared" si="7"/>
        <v>10</v>
      </c>
      <c r="E15" s="38">
        <f t="shared" ca="1" si="0"/>
        <v>46387</v>
      </c>
      <c r="F15" s="2">
        <f t="shared" si="1"/>
        <v>865.94348966157281</v>
      </c>
      <c r="G15" s="3">
        <f t="shared" si="2"/>
        <v>5336.2758087719858</v>
      </c>
      <c r="H15" s="2">
        <f t="shared" si="3"/>
        <v>6202.2192984335588</v>
      </c>
      <c r="I15" s="3">
        <f t="shared" si="4"/>
        <v>947805.31140313589</v>
      </c>
      <c r="K15" s="39">
        <f t="shared" si="5"/>
        <v>8444.68859686422</v>
      </c>
      <c r="L15" s="39">
        <f t="shared" si="6"/>
        <v>53577.504387471366</v>
      </c>
      <c r="M15" s="39">
        <f t="shared" si="6"/>
        <v>62022.192984335576</v>
      </c>
    </row>
    <row r="16" spans="1:13" x14ac:dyDescent="0.45">
      <c r="D16">
        <f t="shared" si="7"/>
        <v>11</v>
      </c>
      <c r="E16" s="38">
        <f t="shared" ca="1" si="0"/>
        <v>46418</v>
      </c>
      <c r="F16" s="2">
        <f t="shared" si="1"/>
        <v>870.81442179091914</v>
      </c>
      <c r="G16" s="3">
        <f t="shared" si="2"/>
        <v>5331.4048766426395</v>
      </c>
      <c r="H16" s="2">
        <f t="shared" si="3"/>
        <v>6202.2192984335588</v>
      </c>
      <c r="I16" s="3">
        <f t="shared" si="4"/>
        <v>946934.496981345</v>
      </c>
      <c r="K16" s="39">
        <f t="shared" si="5"/>
        <v>9315.5030186551394</v>
      </c>
      <c r="L16" s="39">
        <f t="shared" si="6"/>
        <v>58908.909264114009</v>
      </c>
      <c r="M16" s="39">
        <f t="shared" si="6"/>
        <v>68224.412282769132</v>
      </c>
    </row>
    <row r="17" spans="4:13" x14ac:dyDescent="0.45">
      <c r="D17">
        <f t="shared" si="7"/>
        <v>12</v>
      </c>
      <c r="E17" s="38">
        <f t="shared" ca="1" si="0"/>
        <v>46446</v>
      </c>
      <c r="F17" s="2">
        <f t="shared" si="1"/>
        <v>875.71275291349309</v>
      </c>
      <c r="G17" s="3">
        <f t="shared" si="2"/>
        <v>5326.5065455200656</v>
      </c>
      <c r="H17" s="2">
        <f t="shared" si="3"/>
        <v>6202.2192984335588</v>
      </c>
      <c r="I17" s="3">
        <f t="shared" si="4"/>
        <v>946058.78422843153</v>
      </c>
      <c r="K17" s="39">
        <f t="shared" si="5"/>
        <v>10191.215771568632</v>
      </c>
      <c r="L17" s="39">
        <f t="shared" si="6"/>
        <v>64235.415809634076</v>
      </c>
      <c r="M17" s="39">
        <f t="shared" si="6"/>
        <v>74426.631581202688</v>
      </c>
    </row>
    <row r="18" spans="4:13" x14ac:dyDescent="0.45">
      <c r="D18">
        <f t="shared" si="7"/>
        <v>13</v>
      </c>
      <c r="E18" s="38">
        <f t="shared" ca="1" si="0"/>
        <v>46477</v>
      </c>
      <c r="F18" s="2">
        <f t="shared" si="1"/>
        <v>880.63863714863146</v>
      </c>
      <c r="G18" s="3">
        <f t="shared" si="2"/>
        <v>5321.5806612849274</v>
      </c>
      <c r="H18" s="2">
        <f t="shared" si="3"/>
        <v>6202.2192984335588</v>
      </c>
      <c r="I18" s="3">
        <f t="shared" si="4"/>
        <v>945178.14559128287</v>
      </c>
      <c r="K18" s="39">
        <f t="shared" si="5"/>
        <v>11071.854408717263</v>
      </c>
      <c r="L18" s="39">
        <f t="shared" si="6"/>
        <v>69556.99647091901</v>
      </c>
      <c r="M18" s="39">
        <f t="shared" si="6"/>
        <v>80628.850879636244</v>
      </c>
    </row>
    <row r="19" spans="4:13" x14ac:dyDescent="0.45">
      <c r="D19">
        <f t="shared" si="7"/>
        <v>14</v>
      </c>
      <c r="E19" s="38">
        <f t="shared" ca="1" si="0"/>
        <v>46507</v>
      </c>
      <c r="F19" s="2">
        <f t="shared" si="1"/>
        <v>885.5922294825923</v>
      </c>
      <c r="G19" s="3">
        <f t="shared" si="2"/>
        <v>5316.6270689509665</v>
      </c>
      <c r="H19" s="2">
        <f t="shared" si="3"/>
        <v>6202.2192984335588</v>
      </c>
      <c r="I19" s="3">
        <f t="shared" si="4"/>
        <v>944292.55336180027</v>
      </c>
      <c r="K19" s="39">
        <f t="shared" si="5"/>
        <v>11957.446638199855</v>
      </c>
      <c r="L19" s="39">
        <f t="shared" si="6"/>
        <v>74873.623539869979</v>
      </c>
      <c r="M19" s="39">
        <f t="shared" si="6"/>
        <v>86831.0701780698</v>
      </c>
    </row>
    <row r="20" spans="4:13" x14ac:dyDescent="0.45">
      <c r="D20">
        <f t="shared" si="7"/>
        <v>15</v>
      </c>
      <c r="E20" s="38">
        <f t="shared" ca="1" si="0"/>
        <v>46538</v>
      </c>
      <c r="F20" s="2">
        <f t="shared" si="1"/>
        <v>890.57368577343209</v>
      </c>
      <c r="G20" s="3">
        <f t="shared" si="2"/>
        <v>5311.645612660127</v>
      </c>
      <c r="H20" s="2">
        <f t="shared" si="3"/>
        <v>6202.2192984335588</v>
      </c>
      <c r="I20" s="3">
        <f t="shared" si="4"/>
        <v>943401.97967602685</v>
      </c>
      <c r="K20" s="39">
        <f t="shared" si="5"/>
        <v>12848.020323973287</v>
      </c>
      <c r="L20" s="39">
        <f t="shared" si="6"/>
        <v>80185.269152530105</v>
      </c>
      <c r="M20" s="39">
        <f t="shared" si="6"/>
        <v>93033.289476503356</v>
      </c>
    </row>
    <row r="21" spans="4:13" x14ac:dyDescent="0.45">
      <c r="D21">
        <f t="shared" si="7"/>
        <v>16</v>
      </c>
      <c r="E21" s="38">
        <f t="shared" ca="1" si="0"/>
        <v>46568</v>
      </c>
      <c r="F21" s="2">
        <f t="shared" si="1"/>
        <v>895.58316275590755</v>
      </c>
      <c r="G21" s="3">
        <f t="shared" si="2"/>
        <v>5306.6361356776515</v>
      </c>
      <c r="H21" s="2">
        <f t="shared" si="3"/>
        <v>6202.2192984335588</v>
      </c>
      <c r="I21" s="3">
        <f t="shared" si="4"/>
        <v>942506.39651327091</v>
      </c>
      <c r="K21" s="39">
        <f t="shared" si="5"/>
        <v>13743.603486729195</v>
      </c>
      <c r="L21" s="39">
        <f t="shared" si="6"/>
        <v>85491.905288207752</v>
      </c>
      <c r="M21" s="39">
        <f t="shared" si="6"/>
        <v>99235.508774936912</v>
      </c>
    </row>
    <row r="22" spans="4:13" x14ac:dyDescent="0.45">
      <c r="D22">
        <f t="shared" si="7"/>
        <v>17</v>
      </c>
      <c r="E22" s="38">
        <f t="shared" ca="1" si="0"/>
        <v>46599</v>
      </c>
      <c r="F22" s="2">
        <f t="shared" si="1"/>
        <v>900.62081804640957</v>
      </c>
      <c r="G22" s="3">
        <f t="shared" si="2"/>
        <v>5301.5984803871488</v>
      </c>
      <c r="H22" s="2">
        <f t="shared" si="3"/>
        <v>6202.2192984335588</v>
      </c>
      <c r="I22" s="3">
        <f t="shared" si="4"/>
        <v>941605.77569522453</v>
      </c>
      <c r="K22" s="39">
        <f t="shared" si="5"/>
        <v>14644.224304775604</v>
      </c>
      <c r="L22" s="39">
        <f t="shared" si="6"/>
        <v>90793.503768594906</v>
      </c>
      <c r="M22" s="39">
        <f t="shared" si="6"/>
        <v>105437.72807337047</v>
      </c>
    </row>
    <row r="23" spans="4:13" x14ac:dyDescent="0.45">
      <c r="D23">
        <f t="shared" si="7"/>
        <v>18</v>
      </c>
      <c r="E23" s="38">
        <f t="shared" ca="1" si="0"/>
        <v>46630</v>
      </c>
      <c r="F23" s="2">
        <f t="shared" si="1"/>
        <v>905.68681014792071</v>
      </c>
      <c r="G23" s="3">
        <f t="shared" si="2"/>
        <v>5296.5324882856385</v>
      </c>
      <c r="H23" s="2">
        <f t="shared" si="3"/>
        <v>6202.2192984335588</v>
      </c>
      <c r="I23" s="3">
        <f t="shared" si="4"/>
        <v>940700.08888507658</v>
      </c>
      <c r="K23" s="39">
        <f t="shared" si="5"/>
        <v>15549.911114923525</v>
      </c>
      <c r="L23" s="39">
        <f>L22+G23</f>
        <v>96090.036256880543</v>
      </c>
      <c r="M23" s="39">
        <f>M22+H23</f>
        <v>111639.94737180402</v>
      </c>
    </row>
    <row r="24" spans="4:13" x14ac:dyDescent="0.45">
      <c r="D24">
        <f t="shared" si="7"/>
        <v>19</v>
      </c>
      <c r="E24" s="38">
        <f t="shared" ca="1" si="0"/>
        <v>46660</v>
      </c>
      <c r="F24" s="2">
        <f t="shared" si="1"/>
        <v>910.78129845500291</v>
      </c>
      <c r="G24" s="3">
        <f t="shared" si="2"/>
        <v>5291.437999978556</v>
      </c>
      <c r="H24" s="2">
        <f t="shared" si="3"/>
        <v>6202.2192984335588</v>
      </c>
      <c r="I24" s="3">
        <f t="shared" si="4"/>
        <v>939789.30758662161</v>
      </c>
      <c r="K24" s="39">
        <f t="shared" ref="K24:M39" si="8">K23+F24</f>
        <v>16460.692413378529</v>
      </c>
      <c r="L24" s="39">
        <f t="shared" si="8"/>
        <v>101381.4742568591</v>
      </c>
      <c r="M24" s="39">
        <f t="shared" si="8"/>
        <v>117842.16667023758</v>
      </c>
    </row>
    <row r="25" spans="4:13" x14ac:dyDescent="0.45">
      <c r="D25">
        <f t="shared" si="7"/>
        <v>20</v>
      </c>
      <c r="E25" s="38">
        <f t="shared" ca="1" si="0"/>
        <v>46691</v>
      </c>
      <c r="F25" s="2">
        <f t="shared" si="1"/>
        <v>915.90444325881208</v>
      </c>
      <c r="G25" s="3">
        <f t="shared" si="2"/>
        <v>5286.3148551747472</v>
      </c>
      <c r="H25" s="2">
        <f t="shared" si="3"/>
        <v>6202.2192984335588</v>
      </c>
      <c r="I25" s="3">
        <f t="shared" si="4"/>
        <v>938873.40314336284</v>
      </c>
      <c r="K25" s="39">
        <f t="shared" si="8"/>
        <v>17376.596856637341</v>
      </c>
      <c r="L25" s="39">
        <f t="shared" si="8"/>
        <v>106667.78911203385</v>
      </c>
      <c r="M25" s="39">
        <f t="shared" si="8"/>
        <v>124044.38596867114</v>
      </c>
    </row>
    <row r="26" spans="4:13" x14ac:dyDescent="0.45">
      <c r="D26">
        <f t="shared" si="7"/>
        <v>21</v>
      </c>
      <c r="E26" s="38">
        <f t="shared" ca="1" si="0"/>
        <v>46721</v>
      </c>
      <c r="F26" s="2">
        <f t="shared" si="1"/>
        <v>921.05640575214295</v>
      </c>
      <c r="G26" s="3">
        <f t="shared" si="2"/>
        <v>5281.1628926814155</v>
      </c>
      <c r="H26" s="2">
        <f t="shared" si="3"/>
        <v>6202.2192984335588</v>
      </c>
      <c r="I26" s="3">
        <f t="shared" si="4"/>
        <v>937952.34673761064</v>
      </c>
      <c r="K26" s="39">
        <f t="shared" si="8"/>
        <v>18297.653262389485</v>
      </c>
      <c r="L26" s="39">
        <f t="shared" si="8"/>
        <v>111948.95200471526</v>
      </c>
      <c r="M26" s="39">
        <f t="shared" si="8"/>
        <v>130246.60526710469</v>
      </c>
    </row>
    <row r="27" spans="4:13" x14ac:dyDescent="0.45">
      <c r="D27">
        <f t="shared" si="7"/>
        <v>22</v>
      </c>
      <c r="E27" s="38">
        <f t="shared" ca="1" si="0"/>
        <v>46752</v>
      </c>
      <c r="F27" s="2">
        <f t="shared" si="1"/>
        <v>926.23734803449872</v>
      </c>
      <c r="G27" s="3">
        <f t="shared" si="2"/>
        <v>5275.9819503990602</v>
      </c>
      <c r="H27" s="2">
        <f t="shared" si="3"/>
        <v>6202.2192984335588</v>
      </c>
      <c r="I27" s="3">
        <f t="shared" si="4"/>
        <v>937026.10938957613</v>
      </c>
      <c r="K27" s="39">
        <f t="shared" si="8"/>
        <v>19223.890610423983</v>
      </c>
      <c r="L27" s="39">
        <f t="shared" si="8"/>
        <v>117224.93395511432</v>
      </c>
      <c r="M27" s="39">
        <f t="shared" si="8"/>
        <v>136448.82456553826</v>
      </c>
    </row>
    <row r="28" spans="4:13" x14ac:dyDescent="0.45">
      <c r="D28">
        <f t="shared" si="7"/>
        <v>23</v>
      </c>
      <c r="E28" s="38">
        <f t="shared" ca="1" si="0"/>
        <v>46783</v>
      </c>
      <c r="F28" s="2">
        <f t="shared" si="1"/>
        <v>931.44743311719276</v>
      </c>
      <c r="G28" s="3">
        <f t="shared" si="2"/>
        <v>5270.7718653163665</v>
      </c>
      <c r="H28" s="2">
        <f t="shared" si="3"/>
        <v>6202.2192984335588</v>
      </c>
      <c r="I28" s="3">
        <f t="shared" si="4"/>
        <v>936094.66195645893</v>
      </c>
      <c r="K28" s="39">
        <f t="shared" si="8"/>
        <v>20155.338043541175</v>
      </c>
      <c r="L28" s="39">
        <f t="shared" si="8"/>
        <v>122495.70582043068</v>
      </c>
      <c r="M28" s="39">
        <f t="shared" si="8"/>
        <v>142651.04386397183</v>
      </c>
    </row>
    <row r="29" spans="4:13" x14ac:dyDescent="0.45">
      <c r="D29">
        <f t="shared" si="7"/>
        <v>24</v>
      </c>
      <c r="E29" s="38">
        <f t="shared" ca="1" si="0"/>
        <v>46812</v>
      </c>
      <c r="F29" s="2">
        <f t="shared" si="1"/>
        <v>936.68682492847699</v>
      </c>
      <c r="G29" s="3">
        <f t="shared" si="2"/>
        <v>5265.5324735050817</v>
      </c>
      <c r="H29" s="2">
        <f t="shared" si="3"/>
        <v>6202.2192984335588</v>
      </c>
      <c r="I29" s="3">
        <f t="shared" si="4"/>
        <v>935157.97513153043</v>
      </c>
      <c r="K29" s="39">
        <f t="shared" si="8"/>
        <v>21092.024868469653</v>
      </c>
      <c r="L29" s="39">
        <f t="shared" si="8"/>
        <v>127761.23829393576</v>
      </c>
      <c r="M29" s="39">
        <f t="shared" si="8"/>
        <v>148853.2631624054</v>
      </c>
    </row>
    <row r="30" spans="4:13" x14ac:dyDescent="0.45">
      <c r="D30">
        <f t="shared" si="7"/>
        <v>25</v>
      </c>
      <c r="E30" s="38">
        <f t="shared" ca="1" si="0"/>
        <v>46843</v>
      </c>
      <c r="F30" s="2">
        <f t="shared" si="1"/>
        <v>941.95568831869957</v>
      </c>
      <c r="G30" s="3">
        <f t="shared" si="2"/>
        <v>5260.2636101148591</v>
      </c>
      <c r="H30" s="2">
        <f t="shared" si="3"/>
        <v>6202.2192984335588</v>
      </c>
      <c r="I30" s="3">
        <f t="shared" si="4"/>
        <v>934216.01944321173</v>
      </c>
      <c r="K30" s="39">
        <f t="shared" si="8"/>
        <v>22033.980556788352</v>
      </c>
      <c r="L30" s="39">
        <f t="shared" si="8"/>
        <v>133021.50190405062</v>
      </c>
      <c r="M30" s="39">
        <f t="shared" si="8"/>
        <v>155055.48246083898</v>
      </c>
    </row>
    <row r="31" spans="4:13" x14ac:dyDescent="0.45">
      <c r="D31">
        <f t="shared" si="7"/>
        <v>26</v>
      </c>
      <c r="E31" s="38">
        <f t="shared" ca="1" si="0"/>
        <v>46873</v>
      </c>
      <c r="F31" s="2">
        <f t="shared" si="1"/>
        <v>947.25418906549237</v>
      </c>
      <c r="G31" s="3">
        <f t="shared" si="2"/>
        <v>5254.9651093680668</v>
      </c>
      <c r="H31" s="2">
        <f t="shared" si="3"/>
        <v>6202.2192984335588</v>
      </c>
      <c r="I31" s="3">
        <f t="shared" si="4"/>
        <v>933268.76525414619</v>
      </c>
      <c r="K31" s="39">
        <f t="shared" si="8"/>
        <v>22981.234745853846</v>
      </c>
      <c r="L31" s="39">
        <f t="shared" si="8"/>
        <v>138276.46701341867</v>
      </c>
      <c r="M31" s="39">
        <f t="shared" si="8"/>
        <v>161257.70175927255</v>
      </c>
    </row>
    <row r="32" spans="4:13" x14ac:dyDescent="0.45">
      <c r="D32">
        <f t="shared" si="7"/>
        <v>27</v>
      </c>
      <c r="E32" s="38">
        <f t="shared" ca="1" si="0"/>
        <v>46904</v>
      </c>
      <c r="F32" s="2">
        <f t="shared" si="1"/>
        <v>952.5824938789857</v>
      </c>
      <c r="G32" s="3">
        <f t="shared" si="2"/>
        <v>5249.6368045545732</v>
      </c>
      <c r="H32" s="2">
        <f t="shared" si="3"/>
        <v>6202.2192984335588</v>
      </c>
      <c r="I32" s="3">
        <f t="shared" si="4"/>
        <v>932316.18276026717</v>
      </c>
      <c r="K32" s="39">
        <f t="shared" si="8"/>
        <v>23933.817239732831</v>
      </c>
      <c r="L32" s="39">
        <f t="shared" si="8"/>
        <v>143526.10381797326</v>
      </c>
      <c r="M32" s="39">
        <f t="shared" si="8"/>
        <v>167459.92105770612</v>
      </c>
    </row>
    <row r="33" spans="4:13" x14ac:dyDescent="0.45">
      <c r="D33">
        <f t="shared" si="7"/>
        <v>28</v>
      </c>
      <c r="E33" s="38">
        <f t="shared" ca="1" si="0"/>
        <v>46934</v>
      </c>
      <c r="F33" s="2">
        <f t="shared" si="1"/>
        <v>957.94077040705497</v>
      </c>
      <c r="G33" s="3">
        <f t="shared" si="2"/>
        <v>5244.2785280265034</v>
      </c>
      <c r="H33" s="2">
        <f t="shared" si="3"/>
        <v>6202.2192984335588</v>
      </c>
      <c r="I33" s="3">
        <f t="shared" si="4"/>
        <v>931358.24198986008</v>
      </c>
      <c r="K33" s="39">
        <f t="shared" si="8"/>
        <v>24891.758010139885</v>
      </c>
      <c r="L33" s="39">
        <f t="shared" si="8"/>
        <v>148770.38234599977</v>
      </c>
      <c r="M33" s="39">
        <f t="shared" si="8"/>
        <v>173662.14035613969</v>
      </c>
    </row>
    <row r="34" spans="4:13" x14ac:dyDescent="0.45">
      <c r="D34">
        <f t="shared" si="7"/>
        <v>29</v>
      </c>
      <c r="E34" s="38">
        <f t="shared" ca="1" si="0"/>
        <v>46965</v>
      </c>
      <c r="F34" s="2">
        <f t="shared" si="1"/>
        <v>963.32918724059482</v>
      </c>
      <c r="G34" s="3">
        <f t="shared" si="2"/>
        <v>5238.8901111929645</v>
      </c>
      <c r="H34" s="2">
        <f t="shared" si="3"/>
        <v>6202.2192984335588</v>
      </c>
      <c r="I34" s="3">
        <f t="shared" si="4"/>
        <v>930394.91280261951</v>
      </c>
      <c r="K34" s="39">
        <f t="shared" si="8"/>
        <v>25855.087197380479</v>
      </c>
      <c r="L34" s="39">
        <f t="shared" si="8"/>
        <v>154009.27245719274</v>
      </c>
      <c r="M34" s="39">
        <f t="shared" si="8"/>
        <v>179864.35965457326</v>
      </c>
    </row>
    <row r="35" spans="4:13" x14ac:dyDescent="0.45">
      <c r="D35">
        <f t="shared" si="7"/>
        <v>30</v>
      </c>
      <c r="E35" s="38">
        <f t="shared" ca="1" si="0"/>
        <v>46996</v>
      </c>
      <c r="F35" s="2">
        <f t="shared" si="1"/>
        <v>968.74791391882309</v>
      </c>
      <c r="G35" s="3">
        <f t="shared" si="2"/>
        <v>5233.4713845147362</v>
      </c>
      <c r="H35" s="2">
        <f t="shared" si="3"/>
        <v>6202.2192984335588</v>
      </c>
      <c r="I35" s="3">
        <f t="shared" si="4"/>
        <v>929426.1648887007</v>
      </c>
      <c r="K35" s="39">
        <f t="shared" si="8"/>
        <v>26823.8351112993</v>
      </c>
      <c r="L35" s="39">
        <f t="shared" si="8"/>
        <v>159242.74384170747</v>
      </c>
      <c r="M35" s="39">
        <f t="shared" si="8"/>
        <v>186066.57895300683</v>
      </c>
    </row>
    <row r="36" spans="4:13" x14ac:dyDescent="0.45">
      <c r="D36">
        <f t="shared" si="7"/>
        <v>31</v>
      </c>
      <c r="E36" s="38">
        <f t="shared" ca="1" si="0"/>
        <v>47026</v>
      </c>
      <c r="F36" s="2">
        <f t="shared" si="1"/>
        <v>974.19712093461646</v>
      </c>
      <c r="G36" s="3">
        <f t="shared" si="2"/>
        <v>5228.0221774989423</v>
      </c>
      <c r="H36" s="2">
        <f t="shared" si="3"/>
        <v>6202.2192984335588</v>
      </c>
      <c r="I36" s="3">
        <f t="shared" si="4"/>
        <v>928451.96776776609</v>
      </c>
      <c r="K36" s="39">
        <f t="shared" si="8"/>
        <v>27798.032232233916</v>
      </c>
      <c r="L36" s="39">
        <f t="shared" si="8"/>
        <v>164470.76601920641</v>
      </c>
      <c r="M36" s="39">
        <f t="shared" si="8"/>
        <v>192268.7982514404</v>
      </c>
    </row>
    <row r="37" spans="4:13" x14ac:dyDescent="0.45">
      <c r="D37">
        <f t="shared" si="7"/>
        <v>32</v>
      </c>
      <c r="E37" s="38">
        <f t="shared" ca="1" si="0"/>
        <v>47057</v>
      </c>
      <c r="F37" s="2">
        <f t="shared" si="1"/>
        <v>979.67697973987367</v>
      </c>
      <c r="G37" s="3">
        <f t="shared" si="2"/>
        <v>5222.542318693685</v>
      </c>
      <c r="H37" s="2">
        <f t="shared" si="3"/>
        <v>6202.2192984335588</v>
      </c>
      <c r="I37" s="3">
        <f t="shared" si="4"/>
        <v>927472.29078802618</v>
      </c>
      <c r="K37" s="39">
        <f t="shared" si="8"/>
        <v>28777.70921197379</v>
      </c>
      <c r="L37" s="39">
        <f t="shared" si="8"/>
        <v>169693.30833790009</v>
      </c>
      <c r="M37" s="39">
        <f t="shared" si="8"/>
        <v>198471.01754987397</v>
      </c>
    </row>
    <row r="38" spans="4:13" x14ac:dyDescent="0.45">
      <c r="D38">
        <f t="shared" si="7"/>
        <v>33</v>
      </c>
      <c r="E38" s="38">
        <f t="shared" ca="1" si="0"/>
        <v>47087</v>
      </c>
      <c r="F38" s="2">
        <f t="shared" si="1"/>
        <v>985.18766275091059</v>
      </c>
      <c r="G38" s="3">
        <f t="shared" si="2"/>
        <v>5217.0316356826479</v>
      </c>
      <c r="H38" s="2">
        <f t="shared" si="3"/>
        <v>6202.2192984335588</v>
      </c>
      <c r="I38" s="3">
        <f t="shared" si="4"/>
        <v>926487.10312527523</v>
      </c>
      <c r="K38" s="39">
        <f t="shared" si="8"/>
        <v>29762.896874724702</v>
      </c>
      <c r="L38" s="39">
        <f t="shared" si="8"/>
        <v>174910.33997358274</v>
      </c>
      <c r="M38" s="39">
        <f t="shared" si="8"/>
        <v>204673.23684830754</v>
      </c>
    </row>
    <row r="39" spans="4:13" x14ac:dyDescent="0.45">
      <c r="D39">
        <f t="shared" si="7"/>
        <v>34</v>
      </c>
      <c r="E39" s="38">
        <f t="shared" ca="1" si="0"/>
        <v>47118</v>
      </c>
      <c r="F39" s="2">
        <f t="shared" si="1"/>
        <v>990.72934335388436</v>
      </c>
      <c r="G39" s="3">
        <f t="shared" si="2"/>
        <v>5211.4899550796745</v>
      </c>
      <c r="H39" s="2">
        <f t="shared" si="3"/>
        <v>6202.2192984335588</v>
      </c>
      <c r="I39" s="3">
        <f t="shared" si="4"/>
        <v>925496.37378192134</v>
      </c>
      <c r="K39" s="39">
        <f t="shared" si="8"/>
        <v>30753.626218078585</v>
      </c>
      <c r="L39" s="39">
        <f t="shared" si="8"/>
        <v>180121.82992866242</v>
      </c>
      <c r="M39" s="39">
        <f t="shared" si="8"/>
        <v>210875.45614674111</v>
      </c>
    </row>
    <row r="40" spans="4:13" x14ac:dyDescent="0.45">
      <c r="D40">
        <f t="shared" si="7"/>
        <v>35</v>
      </c>
      <c r="E40" s="38">
        <f t="shared" ca="1" si="0"/>
        <v>47149</v>
      </c>
      <c r="F40" s="2">
        <f t="shared" si="1"/>
        <v>996.30219591024991</v>
      </c>
      <c r="G40" s="3">
        <f t="shared" si="2"/>
        <v>5205.917102523309</v>
      </c>
      <c r="H40" s="2">
        <f t="shared" si="3"/>
        <v>6202.2192984335588</v>
      </c>
      <c r="I40" s="3">
        <f t="shared" si="4"/>
        <v>924500.07158601109</v>
      </c>
      <c r="K40" s="39">
        <f t="shared" ref="K40:M55" si="9">K39+F40</f>
        <v>31749.928413988837</v>
      </c>
      <c r="L40" s="39">
        <f t="shared" si="9"/>
        <v>185327.74703118575</v>
      </c>
      <c r="M40" s="39">
        <f t="shared" si="9"/>
        <v>217077.67544517468</v>
      </c>
    </row>
    <row r="41" spans="4:13" x14ac:dyDescent="0.45">
      <c r="D41">
        <f t="shared" si="7"/>
        <v>36</v>
      </c>
      <c r="E41" s="38">
        <f t="shared" ca="1" si="0"/>
        <v>47177</v>
      </c>
      <c r="F41" s="2">
        <f t="shared" si="1"/>
        <v>1001.9063957622451</v>
      </c>
      <c r="G41" s="3">
        <f t="shared" si="2"/>
        <v>5200.3129026713141</v>
      </c>
      <c r="H41" s="2">
        <f t="shared" si="3"/>
        <v>6202.2192984335588</v>
      </c>
      <c r="I41" s="3">
        <f t="shared" si="4"/>
        <v>923498.16519024887</v>
      </c>
      <c r="K41" s="39">
        <f t="shared" si="9"/>
        <v>32751.834809751083</v>
      </c>
      <c r="L41" s="39">
        <f t="shared" si="9"/>
        <v>190528.05993385706</v>
      </c>
      <c r="M41" s="39">
        <f t="shared" si="9"/>
        <v>223279.89474360825</v>
      </c>
    </row>
    <row r="42" spans="4:13" x14ac:dyDescent="0.45">
      <c r="D42">
        <f t="shared" si="7"/>
        <v>37</v>
      </c>
      <c r="E42" s="38">
        <f t="shared" ca="1" si="0"/>
        <v>47208</v>
      </c>
      <c r="F42" s="2">
        <f t="shared" si="1"/>
        <v>1007.5421192384076</v>
      </c>
      <c r="G42" s="3">
        <f t="shared" si="2"/>
        <v>5194.6771791951514</v>
      </c>
      <c r="H42" s="2">
        <f t="shared" si="3"/>
        <v>6202.2192984335588</v>
      </c>
      <c r="I42" s="3">
        <f t="shared" si="4"/>
        <v>922490.62307101046</v>
      </c>
      <c r="K42" s="39">
        <f t="shared" si="9"/>
        <v>33759.376928989492</v>
      </c>
      <c r="L42" s="39">
        <f t="shared" si="9"/>
        <v>195722.73711305222</v>
      </c>
      <c r="M42" s="39">
        <f t="shared" si="9"/>
        <v>229482.11404204182</v>
      </c>
    </row>
    <row r="43" spans="4:13" x14ac:dyDescent="0.45">
      <c r="D43">
        <f t="shared" si="7"/>
        <v>38</v>
      </c>
      <c r="E43" s="38">
        <f t="shared" ca="1" si="0"/>
        <v>47238</v>
      </c>
      <c r="F43" s="2">
        <f t="shared" si="1"/>
        <v>1013.2095436591237</v>
      </c>
      <c r="G43" s="3">
        <f t="shared" si="2"/>
        <v>5189.0097547744354</v>
      </c>
      <c r="H43" s="2">
        <f t="shared" si="3"/>
        <v>6202.2192984335588</v>
      </c>
      <c r="I43" s="3">
        <f t="shared" si="4"/>
        <v>921477.41352735134</v>
      </c>
      <c r="K43" s="39">
        <f t="shared" si="9"/>
        <v>34772.586472648618</v>
      </c>
      <c r="L43" s="39">
        <f t="shared" si="9"/>
        <v>200911.74686782665</v>
      </c>
      <c r="M43" s="39">
        <f t="shared" si="9"/>
        <v>235684.33334047539</v>
      </c>
    </row>
    <row r="44" spans="4:13" x14ac:dyDescent="0.45">
      <c r="D44">
        <f t="shared" si="7"/>
        <v>39</v>
      </c>
      <c r="E44" s="38">
        <f t="shared" ca="1" si="0"/>
        <v>47269</v>
      </c>
      <c r="F44" s="2">
        <f t="shared" si="1"/>
        <v>1018.9088473422064</v>
      </c>
      <c r="G44" s="3">
        <f t="shared" si="2"/>
        <v>5183.3104510913527</v>
      </c>
      <c r="H44" s="2">
        <f t="shared" si="3"/>
        <v>6202.2192984335588</v>
      </c>
      <c r="I44" s="3">
        <f t="shared" si="4"/>
        <v>920458.50468000909</v>
      </c>
      <c r="K44" s="39">
        <f t="shared" si="9"/>
        <v>35791.495319990827</v>
      </c>
      <c r="L44" s="39">
        <f t="shared" si="9"/>
        <v>206095.057318918</v>
      </c>
      <c r="M44" s="39">
        <f t="shared" si="9"/>
        <v>241886.55263890896</v>
      </c>
    </row>
    <row r="45" spans="4:13" x14ac:dyDescent="0.45">
      <c r="D45">
        <f t="shared" si="7"/>
        <v>40</v>
      </c>
      <c r="E45" s="38">
        <f t="shared" ca="1" si="0"/>
        <v>47299</v>
      </c>
      <c r="F45" s="2">
        <f t="shared" si="1"/>
        <v>1024.6402096085064</v>
      </c>
      <c r="G45" s="3">
        <f t="shared" si="2"/>
        <v>5177.5790888250522</v>
      </c>
      <c r="H45" s="2">
        <f t="shared" si="3"/>
        <v>6202.2192984335588</v>
      </c>
      <c r="I45" s="3">
        <f t="shared" si="4"/>
        <v>919433.86447040061</v>
      </c>
      <c r="K45" s="39">
        <f t="shared" si="9"/>
        <v>36816.135529599334</v>
      </c>
      <c r="L45" s="39">
        <f t="shared" si="9"/>
        <v>211272.63640774306</v>
      </c>
      <c r="M45" s="39">
        <f t="shared" si="9"/>
        <v>248088.77193734254</v>
      </c>
    </row>
    <row r="46" spans="4:13" x14ac:dyDescent="0.45">
      <c r="D46">
        <f t="shared" si="7"/>
        <v>41</v>
      </c>
      <c r="E46" s="38">
        <f t="shared" ca="1" si="0"/>
        <v>47330</v>
      </c>
      <c r="F46" s="2">
        <f t="shared" si="1"/>
        <v>1030.403810787554</v>
      </c>
      <c r="G46" s="3">
        <f t="shared" si="2"/>
        <v>5171.8154876460048</v>
      </c>
      <c r="H46" s="2">
        <f t="shared" si="3"/>
        <v>6202.2192984335588</v>
      </c>
      <c r="I46" s="3">
        <f t="shared" si="4"/>
        <v>918403.46065961302</v>
      </c>
      <c r="K46" s="39">
        <f t="shared" si="9"/>
        <v>37846.539340386887</v>
      </c>
      <c r="L46" s="39">
        <f t="shared" si="9"/>
        <v>216444.45189538907</v>
      </c>
      <c r="M46" s="39">
        <f t="shared" si="9"/>
        <v>254290.99123577611</v>
      </c>
    </row>
    <row r="47" spans="4:13" x14ac:dyDescent="0.45">
      <c r="D47">
        <f t="shared" si="7"/>
        <v>42</v>
      </c>
      <c r="E47" s="38">
        <f t="shared" ca="1" si="0"/>
        <v>47361</v>
      </c>
      <c r="F47" s="2">
        <f t="shared" si="1"/>
        <v>1036.1998322232341</v>
      </c>
      <c r="G47" s="3">
        <f t="shared" si="2"/>
        <v>5166.0194662103249</v>
      </c>
      <c r="H47" s="2">
        <f t="shared" si="3"/>
        <v>6202.2192984335588</v>
      </c>
      <c r="I47" s="3">
        <f t="shared" si="4"/>
        <v>917367.26082738978</v>
      </c>
      <c r="K47" s="39">
        <f t="shared" si="9"/>
        <v>38882.73917261012</v>
      </c>
      <c r="L47" s="39">
        <f t="shared" si="9"/>
        <v>221610.4713615994</v>
      </c>
      <c r="M47" s="39">
        <f t="shared" si="9"/>
        <v>260493.21053420968</v>
      </c>
    </row>
    <row r="48" spans="4:13" x14ac:dyDescent="0.45">
      <c r="D48">
        <f t="shared" si="7"/>
        <v>43</v>
      </c>
      <c r="E48" s="38">
        <f t="shared" ca="1" si="0"/>
        <v>47391</v>
      </c>
      <c r="F48" s="2">
        <f t="shared" si="1"/>
        <v>1042.0284562794898</v>
      </c>
      <c r="G48" s="3">
        <f t="shared" si="2"/>
        <v>5160.1908421540693</v>
      </c>
      <c r="H48" s="2">
        <f t="shared" si="3"/>
        <v>6202.2192984335588</v>
      </c>
      <c r="I48" s="3">
        <f t="shared" si="4"/>
        <v>916325.23237111024</v>
      </c>
      <c r="K48" s="39">
        <f t="shared" si="9"/>
        <v>39924.767628889611</v>
      </c>
      <c r="L48" s="39">
        <f t="shared" si="9"/>
        <v>226770.66220375345</v>
      </c>
      <c r="M48" s="39">
        <f t="shared" si="9"/>
        <v>266695.42983264325</v>
      </c>
    </row>
    <row r="49" spans="4:13" x14ac:dyDescent="0.45">
      <c r="D49">
        <f t="shared" si="7"/>
        <v>44</v>
      </c>
      <c r="E49" s="38">
        <f t="shared" ca="1" si="0"/>
        <v>47422</v>
      </c>
      <c r="F49" s="2">
        <f t="shared" si="1"/>
        <v>1047.8898663460618</v>
      </c>
      <c r="G49" s="3">
        <f t="shared" si="2"/>
        <v>5154.3294320874975</v>
      </c>
      <c r="H49" s="2">
        <f t="shared" si="3"/>
        <v>6202.2192984335588</v>
      </c>
      <c r="I49" s="3">
        <f t="shared" si="4"/>
        <v>915277.34250476421</v>
      </c>
      <c r="K49" s="39">
        <f t="shared" si="9"/>
        <v>40972.657495235675</v>
      </c>
      <c r="L49" s="39">
        <f t="shared" si="9"/>
        <v>231924.99163584094</v>
      </c>
      <c r="M49" s="39">
        <f t="shared" si="9"/>
        <v>272897.64913107682</v>
      </c>
    </row>
    <row r="50" spans="4:13" x14ac:dyDescent="0.45">
      <c r="D50">
        <f t="shared" si="7"/>
        <v>45</v>
      </c>
      <c r="E50" s="38">
        <f t="shared" ca="1" si="0"/>
        <v>47452</v>
      </c>
      <c r="F50" s="2">
        <f t="shared" si="1"/>
        <v>1053.7842468442584</v>
      </c>
      <c r="G50" s="3">
        <f t="shared" si="2"/>
        <v>5148.4350515893002</v>
      </c>
      <c r="H50" s="2">
        <f t="shared" si="3"/>
        <v>6202.2192984335588</v>
      </c>
      <c r="I50" s="3">
        <f t="shared" si="4"/>
        <v>914223.55825791997</v>
      </c>
      <c r="K50" s="39">
        <f t="shared" si="9"/>
        <v>42026.441742079936</v>
      </c>
      <c r="L50" s="39">
        <f t="shared" si="9"/>
        <v>237073.42668743024</v>
      </c>
      <c r="M50" s="39">
        <f t="shared" si="9"/>
        <v>279099.86842951039</v>
      </c>
    </row>
    <row r="51" spans="4:13" x14ac:dyDescent="0.45">
      <c r="D51">
        <f t="shared" si="7"/>
        <v>46</v>
      </c>
      <c r="E51" s="38">
        <f t="shared" ca="1" si="0"/>
        <v>47483</v>
      </c>
      <c r="F51" s="2">
        <f t="shared" si="1"/>
        <v>1059.7117832327574</v>
      </c>
      <c r="G51" s="3">
        <f t="shared" si="2"/>
        <v>5142.5075152008012</v>
      </c>
      <c r="H51" s="2">
        <f t="shared" si="3"/>
        <v>6202.2192984335588</v>
      </c>
      <c r="I51" s="3">
        <f t="shared" si="4"/>
        <v>913163.84647468722</v>
      </c>
      <c r="K51" s="39">
        <f t="shared" si="9"/>
        <v>43086.153525312693</v>
      </c>
      <c r="L51" s="39">
        <f t="shared" si="9"/>
        <v>242215.93420263103</v>
      </c>
      <c r="M51" s="39">
        <f t="shared" si="9"/>
        <v>285302.08772794396</v>
      </c>
    </row>
    <row r="52" spans="4:13" x14ac:dyDescent="0.45">
      <c r="D52">
        <f t="shared" si="7"/>
        <v>47</v>
      </c>
      <c r="E52" s="38">
        <f t="shared" ca="1" si="0"/>
        <v>47514</v>
      </c>
      <c r="F52" s="2">
        <f t="shared" si="1"/>
        <v>1065.6726620134416</v>
      </c>
      <c r="G52" s="3">
        <f t="shared" si="2"/>
        <v>5136.5466364201175</v>
      </c>
      <c r="H52" s="2">
        <f t="shared" si="3"/>
        <v>6202.2192984335588</v>
      </c>
      <c r="I52" s="3">
        <f t="shared" si="4"/>
        <v>912098.17381267378</v>
      </c>
      <c r="K52" s="39">
        <f t="shared" si="9"/>
        <v>44151.826187326136</v>
      </c>
      <c r="L52" s="39">
        <f t="shared" si="9"/>
        <v>247352.48083905116</v>
      </c>
      <c r="M52" s="39">
        <f t="shared" si="9"/>
        <v>291504.30702637753</v>
      </c>
    </row>
    <row r="53" spans="4:13" x14ac:dyDescent="0.45">
      <c r="D53">
        <f t="shared" si="7"/>
        <v>48</v>
      </c>
      <c r="E53" s="38">
        <f t="shared" ca="1" si="0"/>
        <v>47542</v>
      </c>
      <c r="F53" s="2">
        <f t="shared" si="1"/>
        <v>1071.6670707372671</v>
      </c>
      <c r="G53" s="3">
        <f t="shared" si="2"/>
        <v>5130.552227696292</v>
      </c>
      <c r="H53" s="2">
        <f t="shared" si="3"/>
        <v>6202.2192984335588</v>
      </c>
      <c r="I53" s="3">
        <f t="shared" si="4"/>
        <v>911026.50674193655</v>
      </c>
      <c r="K53" s="39">
        <f t="shared" si="9"/>
        <v>45223.493258063405</v>
      </c>
      <c r="L53" s="39">
        <f t="shared" si="9"/>
        <v>252483.03306674745</v>
      </c>
      <c r="M53" s="39">
        <f t="shared" si="9"/>
        <v>297706.5263248111</v>
      </c>
    </row>
    <row r="54" spans="4:13" x14ac:dyDescent="0.45">
      <c r="D54">
        <f t="shared" si="7"/>
        <v>49</v>
      </c>
      <c r="E54" s="38">
        <f t="shared" ca="1" si="0"/>
        <v>47573</v>
      </c>
      <c r="F54" s="2">
        <f t="shared" si="1"/>
        <v>1077.6951980101646</v>
      </c>
      <c r="G54" s="3">
        <f t="shared" si="2"/>
        <v>5124.524100423394</v>
      </c>
      <c r="H54" s="2">
        <f t="shared" si="3"/>
        <v>6202.2192984335588</v>
      </c>
      <c r="I54" s="3">
        <f t="shared" si="4"/>
        <v>909948.81154392636</v>
      </c>
      <c r="K54" s="39">
        <f t="shared" si="9"/>
        <v>46301.188456073571</v>
      </c>
      <c r="L54" s="39">
        <f t="shared" si="9"/>
        <v>257607.55716717083</v>
      </c>
      <c r="M54" s="39">
        <f t="shared" si="9"/>
        <v>303908.74562324467</v>
      </c>
    </row>
    <row r="55" spans="4:13" x14ac:dyDescent="0.45">
      <c r="D55">
        <f t="shared" si="7"/>
        <v>50</v>
      </c>
      <c r="E55" s="38">
        <f t="shared" ca="1" si="0"/>
        <v>47603</v>
      </c>
      <c r="F55" s="2">
        <f t="shared" si="1"/>
        <v>1083.7572334989718</v>
      </c>
      <c r="G55" s="3">
        <f t="shared" si="2"/>
        <v>5118.462064934587</v>
      </c>
      <c r="H55" s="2">
        <f t="shared" si="3"/>
        <v>6202.2192984335588</v>
      </c>
      <c r="I55" s="3">
        <f t="shared" si="4"/>
        <v>908865.0543104274</v>
      </c>
      <c r="K55" s="39">
        <f t="shared" si="9"/>
        <v>47384.945689572545</v>
      </c>
      <c r="L55" s="39">
        <f t="shared" si="9"/>
        <v>262726.01923210541</v>
      </c>
      <c r="M55" s="39">
        <f t="shared" si="9"/>
        <v>310110.96492167824</v>
      </c>
    </row>
    <row r="56" spans="4:13" x14ac:dyDescent="0.45">
      <c r="D56">
        <f t="shared" si="7"/>
        <v>51</v>
      </c>
      <c r="E56" s="38">
        <f t="shared" ca="1" si="0"/>
        <v>47634</v>
      </c>
      <c r="F56" s="2">
        <f t="shared" si="1"/>
        <v>1089.8533679374034</v>
      </c>
      <c r="G56" s="3">
        <f t="shared" si="2"/>
        <v>5112.3659304961557</v>
      </c>
      <c r="H56" s="2">
        <f t="shared" si="3"/>
        <v>6202.2192984335588</v>
      </c>
      <c r="I56" s="3">
        <f t="shared" si="4"/>
        <v>907775.20094249002</v>
      </c>
      <c r="K56" s="39">
        <f t="shared" ref="K56:M71" si="10">K55+F56</f>
        <v>48474.799057509947</v>
      </c>
      <c r="L56" s="39">
        <f t="shared" si="10"/>
        <v>267838.38516260154</v>
      </c>
      <c r="M56" s="39">
        <f t="shared" si="10"/>
        <v>316313.18422011181</v>
      </c>
    </row>
    <row r="57" spans="4:13" x14ac:dyDescent="0.45">
      <c r="D57">
        <f t="shared" si="7"/>
        <v>52</v>
      </c>
      <c r="E57" s="38">
        <f t="shared" ca="1" si="0"/>
        <v>47664</v>
      </c>
      <c r="F57" s="2">
        <f t="shared" si="1"/>
        <v>1095.9837931320512</v>
      </c>
      <c r="G57" s="3">
        <f t="shared" si="2"/>
        <v>5106.2355053015071</v>
      </c>
      <c r="H57" s="2">
        <f t="shared" si="3"/>
        <v>6202.2192984335588</v>
      </c>
      <c r="I57" s="3">
        <f t="shared" si="4"/>
        <v>906679.21714935801</v>
      </c>
      <c r="K57" s="39">
        <f t="shared" si="10"/>
        <v>49570.782850641997</v>
      </c>
      <c r="L57" s="39">
        <f t="shared" si="10"/>
        <v>272944.62066790304</v>
      </c>
      <c r="M57" s="39">
        <f t="shared" si="10"/>
        <v>322515.40351854538</v>
      </c>
    </row>
    <row r="58" spans="4:13" x14ac:dyDescent="0.45">
      <c r="D58">
        <f t="shared" si="7"/>
        <v>53</v>
      </c>
      <c r="E58" s="38">
        <f t="shared" ca="1" si="0"/>
        <v>47695</v>
      </c>
      <c r="F58" s="2">
        <f t="shared" si="1"/>
        <v>1102.1487019684191</v>
      </c>
      <c r="G58" s="3">
        <f t="shared" si="2"/>
        <v>5100.0705964651397</v>
      </c>
      <c r="H58" s="2">
        <f t="shared" si="3"/>
        <v>6202.2192984335588</v>
      </c>
      <c r="I58" s="3">
        <f t="shared" si="4"/>
        <v>905577.06844738964</v>
      </c>
      <c r="K58" s="39">
        <f t="shared" si="10"/>
        <v>50672.931552610418</v>
      </c>
      <c r="L58" s="39">
        <f t="shared" si="10"/>
        <v>278044.69126436819</v>
      </c>
      <c r="M58" s="39">
        <f t="shared" si="10"/>
        <v>328717.62281697895</v>
      </c>
    </row>
    <row r="59" spans="4:13" x14ac:dyDescent="0.45">
      <c r="D59">
        <f t="shared" si="7"/>
        <v>54</v>
      </c>
      <c r="E59" s="38">
        <f t="shared" ca="1" si="0"/>
        <v>47726</v>
      </c>
      <c r="F59" s="2">
        <f t="shared" si="1"/>
        <v>1108.3482884169914</v>
      </c>
      <c r="G59" s="3">
        <f t="shared" si="2"/>
        <v>5093.8710100165672</v>
      </c>
      <c r="H59" s="2">
        <f t="shared" si="3"/>
        <v>6202.2192984335588</v>
      </c>
      <c r="I59" s="3">
        <f t="shared" si="4"/>
        <v>904468.72015897266</v>
      </c>
      <c r="K59" s="39">
        <f t="shared" si="10"/>
        <v>51781.279841027412</v>
      </c>
      <c r="L59" s="39">
        <f t="shared" si="10"/>
        <v>283138.56227438478</v>
      </c>
      <c r="M59" s="39">
        <f t="shared" si="10"/>
        <v>334919.84211541252</v>
      </c>
    </row>
    <row r="60" spans="4:13" x14ac:dyDescent="0.45">
      <c r="D60">
        <f t="shared" si="7"/>
        <v>55</v>
      </c>
      <c r="E60" s="38">
        <f t="shared" ca="1" si="0"/>
        <v>47756</v>
      </c>
      <c r="F60" s="2">
        <f t="shared" si="1"/>
        <v>1114.5827475393371</v>
      </c>
      <c r="G60" s="3">
        <f t="shared" si="2"/>
        <v>5087.6365508942217</v>
      </c>
      <c r="H60" s="2">
        <f t="shared" si="3"/>
        <v>6202.2192984335588</v>
      </c>
      <c r="I60" s="3">
        <f t="shared" si="4"/>
        <v>903354.13741143327</v>
      </c>
      <c r="K60" s="39">
        <f t="shared" si="10"/>
        <v>52895.86258856675</v>
      </c>
      <c r="L60" s="39">
        <f t="shared" si="10"/>
        <v>288226.19882527902</v>
      </c>
      <c r="M60" s="39">
        <f t="shared" si="10"/>
        <v>341122.0614138461</v>
      </c>
    </row>
    <row r="61" spans="4:13" x14ac:dyDescent="0.45">
      <c r="D61">
        <f t="shared" si="7"/>
        <v>56</v>
      </c>
      <c r="E61" s="38">
        <f t="shared" ca="1" si="0"/>
        <v>47787</v>
      </c>
      <c r="F61" s="2">
        <f t="shared" si="1"/>
        <v>1120.8522754942458</v>
      </c>
      <c r="G61" s="3">
        <f t="shared" si="2"/>
        <v>5081.3670229393128</v>
      </c>
      <c r="H61" s="2">
        <f t="shared" si="3"/>
        <v>6202.2192984335588</v>
      </c>
      <c r="I61" s="3">
        <f t="shared" si="4"/>
        <v>902233.28513593902</v>
      </c>
      <c r="K61" s="39">
        <f t="shared" si="10"/>
        <v>54016.714864060996</v>
      </c>
      <c r="L61" s="39">
        <f t="shared" si="10"/>
        <v>293307.56584821834</v>
      </c>
      <c r="M61" s="39">
        <f t="shared" si="10"/>
        <v>347324.28071227967</v>
      </c>
    </row>
    <row r="62" spans="4:13" x14ac:dyDescent="0.45">
      <c r="D62">
        <f t="shared" si="7"/>
        <v>57</v>
      </c>
      <c r="E62" s="38">
        <f t="shared" ca="1" si="0"/>
        <v>47817</v>
      </c>
      <c r="F62" s="2">
        <f t="shared" si="1"/>
        <v>1127.1570695439009</v>
      </c>
      <c r="G62" s="3">
        <f t="shared" si="2"/>
        <v>5075.0622288896575</v>
      </c>
      <c r="H62" s="2">
        <f t="shared" si="3"/>
        <v>6202.2192984335588</v>
      </c>
      <c r="I62" s="3">
        <f t="shared" si="4"/>
        <v>901106.12806639506</v>
      </c>
      <c r="K62" s="39">
        <f t="shared" si="10"/>
        <v>55143.871933604896</v>
      </c>
      <c r="L62" s="39">
        <f t="shared" si="10"/>
        <v>298382.62807710801</v>
      </c>
      <c r="M62" s="39">
        <f t="shared" si="10"/>
        <v>353526.50001071324</v>
      </c>
    </row>
    <row r="63" spans="4:13" x14ac:dyDescent="0.45">
      <c r="D63">
        <f t="shared" si="7"/>
        <v>58</v>
      </c>
      <c r="E63" s="38">
        <f t="shared" ca="1" si="0"/>
        <v>47848</v>
      </c>
      <c r="F63" s="2">
        <f t="shared" si="1"/>
        <v>1133.4973280600852</v>
      </c>
      <c r="G63" s="3">
        <f t="shared" si="2"/>
        <v>5068.7219703734736</v>
      </c>
      <c r="H63" s="2">
        <f t="shared" si="3"/>
        <v>6202.2192984335588</v>
      </c>
      <c r="I63" s="3">
        <f t="shared" si="4"/>
        <v>899972.63073833496</v>
      </c>
      <c r="K63" s="39">
        <f t="shared" si="10"/>
        <v>56277.369261664979</v>
      </c>
      <c r="L63" s="39">
        <f t="shared" si="10"/>
        <v>303451.35004748148</v>
      </c>
      <c r="M63" s="39">
        <f t="shared" si="10"/>
        <v>359728.71930914681</v>
      </c>
    </row>
    <row r="64" spans="4:13" x14ac:dyDescent="0.45">
      <c r="D64">
        <f t="shared" si="7"/>
        <v>59</v>
      </c>
      <c r="E64" s="38">
        <f t="shared" ca="1" si="0"/>
        <v>47879</v>
      </c>
      <c r="F64" s="2">
        <f t="shared" si="1"/>
        <v>1139.8732505304235</v>
      </c>
      <c r="G64" s="3">
        <f t="shared" si="2"/>
        <v>5062.3460479031355</v>
      </c>
      <c r="H64" s="2">
        <f t="shared" si="3"/>
        <v>6202.2192984335588</v>
      </c>
      <c r="I64" s="3">
        <f t="shared" si="4"/>
        <v>898832.75748780451</v>
      </c>
      <c r="K64" s="39">
        <f t="shared" si="10"/>
        <v>57417.2425121954</v>
      </c>
      <c r="L64" s="39">
        <f t="shared" si="10"/>
        <v>308513.6960953846</v>
      </c>
      <c r="M64" s="39">
        <f t="shared" si="10"/>
        <v>365930.93860758038</v>
      </c>
    </row>
    <row r="65" spans="4:13" x14ac:dyDescent="0.45">
      <c r="D65">
        <f t="shared" si="7"/>
        <v>60</v>
      </c>
      <c r="E65" s="38">
        <f t="shared" ca="1" si="0"/>
        <v>47907</v>
      </c>
      <c r="F65" s="2">
        <f t="shared" si="1"/>
        <v>1146.2850375646569</v>
      </c>
      <c r="G65" s="3">
        <f t="shared" si="2"/>
        <v>5055.9342608689021</v>
      </c>
      <c r="H65" s="2">
        <f t="shared" si="3"/>
        <v>6202.2192984335588</v>
      </c>
      <c r="I65" s="3">
        <f t="shared" si="4"/>
        <v>897686.47245023982</v>
      </c>
      <c r="K65" s="39">
        <f t="shared" si="10"/>
        <v>58563.52754976006</v>
      </c>
      <c r="L65" s="39">
        <f t="shared" si="10"/>
        <v>313569.63035625347</v>
      </c>
      <c r="M65" s="39">
        <f t="shared" si="10"/>
        <v>372133.15790601395</v>
      </c>
    </row>
    <row r="66" spans="4:13" x14ac:dyDescent="0.45">
      <c r="D66">
        <f t="shared" si="7"/>
        <v>61</v>
      </c>
      <c r="E66" s="38">
        <f t="shared" ca="1" si="0"/>
        <v>47938</v>
      </c>
      <c r="F66" s="2">
        <f t="shared" si="1"/>
        <v>1152.7328909009582</v>
      </c>
      <c r="G66" s="3">
        <f t="shared" si="2"/>
        <v>5049.4864075326004</v>
      </c>
      <c r="H66" s="2">
        <f t="shared" si="3"/>
        <v>6202.2192984335588</v>
      </c>
      <c r="I66" s="3">
        <f t="shared" si="4"/>
        <v>896533.73955933889</v>
      </c>
      <c r="K66" s="39">
        <f t="shared" si="10"/>
        <v>59716.260440661019</v>
      </c>
      <c r="L66" s="39">
        <f t="shared" si="10"/>
        <v>318619.11676378606</v>
      </c>
      <c r="M66" s="39">
        <f t="shared" si="10"/>
        <v>378335.37720444752</v>
      </c>
    </row>
    <row r="67" spans="4:13" x14ac:dyDescent="0.45">
      <c r="D67">
        <f t="shared" si="7"/>
        <v>62</v>
      </c>
      <c r="E67" s="38">
        <f t="shared" ca="1" si="0"/>
        <v>47968</v>
      </c>
      <c r="F67" s="2">
        <f t="shared" si="1"/>
        <v>1159.2170134122759</v>
      </c>
      <c r="G67" s="3">
        <f t="shared" si="2"/>
        <v>5043.0022850212827</v>
      </c>
      <c r="H67" s="2">
        <f t="shared" si="3"/>
        <v>6202.2192984335588</v>
      </c>
      <c r="I67" s="3">
        <f t="shared" si="4"/>
        <v>895374.52254592662</v>
      </c>
      <c r="K67" s="39">
        <f t="shared" si="10"/>
        <v>60875.477454073298</v>
      </c>
      <c r="L67" s="39">
        <f t="shared" si="10"/>
        <v>323662.11904880736</v>
      </c>
      <c r="M67" s="39">
        <f t="shared" si="10"/>
        <v>384537.59650288109</v>
      </c>
    </row>
    <row r="68" spans="4:13" x14ac:dyDescent="0.45">
      <c r="D68">
        <f t="shared" si="7"/>
        <v>63</v>
      </c>
      <c r="E68" s="38">
        <f t="shared" ca="1" si="0"/>
        <v>47999</v>
      </c>
      <c r="F68" s="2">
        <f t="shared" si="1"/>
        <v>1165.7376091127201</v>
      </c>
      <c r="G68" s="3">
        <f t="shared" si="2"/>
        <v>5036.481689320839</v>
      </c>
      <c r="H68" s="2">
        <f t="shared" si="3"/>
        <v>6202.2192984335588</v>
      </c>
      <c r="I68" s="3">
        <f t="shared" si="4"/>
        <v>894208.78493681387</v>
      </c>
      <c r="K68" s="39">
        <f t="shared" si="10"/>
        <v>62041.21506318602</v>
      </c>
      <c r="L68" s="39">
        <f t="shared" si="10"/>
        <v>328698.60073812818</v>
      </c>
      <c r="M68" s="39">
        <f t="shared" si="10"/>
        <v>390739.81580131466</v>
      </c>
    </row>
    <row r="69" spans="4:13" x14ac:dyDescent="0.45">
      <c r="D69">
        <f t="shared" si="7"/>
        <v>64</v>
      </c>
      <c r="E69" s="38">
        <f t="shared" ca="1" si="0"/>
        <v>48029</v>
      </c>
      <c r="F69" s="2">
        <f t="shared" si="1"/>
        <v>1172.2948831639792</v>
      </c>
      <c r="G69" s="3">
        <f t="shared" si="2"/>
        <v>5029.9244152695792</v>
      </c>
      <c r="H69" s="2">
        <f t="shared" si="3"/>
        <v>6202.2192984335588</v>
      </c>
      <c r="I69" s="3">
        <f t="shared" si="4"/>
        <v>893036.49005364988</v>
      </c>
      <c r="K69" s="39">
        <f t="shared" si="10"/>
        <v>63213.509946350001</v>
      </c>
      <c r="L69" s="39">
        <f t="shared" si="10"/>
        <v>333728.52515339776</v>
      </c>
      <c r="M69" s="39">
        <f t="shared" si="10"/>
        <v>396942.03509974823</v>
      </c>
    </row>
    <row r="70" spans="4:13" x14ac:dyDescent="0.45">
      <c r="D70">
        <f t="shared" si="7"/>
        <v>65</v>
      </c>
      <c r="E70" s="38">
        <f t="shared" ca="1" si="0"/>
        <v>48060</v>
      </c>
      <c r="F70" s="2">
        <f t="shared" si="1"/>
        <v>1178.8890418817764</v>
      </c>
      <c r="G70" s="3">
        <f t="shared" si="2"/>
        <v>5023.3302565517824</v>
      </c>
      <c r="H70" s="2">
        <f t="shared" si="3"/>
        <v>6202.2192984335588</v>
      </c>
      <c r="I70" s="3">
        <f t="shared" si="4"/>
        <v>891857.6010117681</v>
      </c>
      <c r="K70" s="39">
        <f t="shared" si="10"/>
        <v>64392.398988231776</v>
      </c>
      <c r="L70" s="39">
        <f t="shared" si="10"/>
        <v>338751.85540994955</v>
      </c>
      <c r="M70" s="39">
        <f t="shared" si="10"/>
        <v>403144.2543981818</v>
      </c>
    </row>
    <row r="71" spans="4:13" x14ac:dyDescent="0.45">
      <c r="D71">
        <f t="shared" si="7"/>
        <v>66</v>
      </c>
      <c r="E71" s="38">
        <f t="shared" ref="E71:E134" ca="1" si="11">EOMONTH(E70,1)</f>
        <v>48091</v>
      </c>
      <c r="F71" s="2">
        <f t="shared" ref="F71:F134" si="12">PPMT($B$4/12,D71,$B$5,-$B$3,0)</f>
        <v>1185.5202927423613</v>
      </c>
      <c r="G71" s="3">
        <f t="shared" ref="G71:G134" si="13">H71-F71</f>
        <v>5016.6990056911973</v>
      </c>
      <c r="H71" s="2">
        <f t="shared" ref="H71:H134" si="14">$B$6</f>
        <v>6202.2192984335588</v>
      </c>
      <c r="I71" s="3">
        <f t="shared" ref="I71:I134" si="15">I70-F71</f>
        <v>890672.08071902569</v>
      </c>
      <c r="K71" s="39">
        <f t="shared" si="10"/>
        <v>65577.919280974136</v>
      </c>
      <c r="L71" s="39">
        <f t="shared" si="10"/>
        <v>343768.55441564077</v>
      </c>
      <c r="M71" s="39">
        <f t="shared" si="10"/>
        <v>409346.47369661537</v>
      </c>
    </row>
    <row r="72" spans="4:13" x14ac:dyDescent="0.45">
      <c r="D72">
        <f t="shared" ref="D72:D135" si="16">D71+1</f>
        <v>67</v>
      </c>
      <c r="E72" s="38">
        <f t="shared" ca="1" si="11"/>
        <v>48121</v>
      </c>
      <c r="F72" s="2">
        <f t="shared" si="12"/>
        <v>1192.1888443890373</v>
      </c>
      <c r="G72" s="3">
        <f t="shared" si="13"/>
        <v>5010.0304540445213</v>
      </c>
      <c r="H72" s="2">
        <f t="shared" si="14"/>
        <v>6202.2192984335588</v>
      </c>
      <c r="I72" s="3">
        <f t="shared" si="15"/>
        <v>889479.89187463664</v>
      </c>
      <c r="K72" s="39">
        <f t="shared" ref="K72:M87" si="17">K71+F72</f>
        <v>66770.108125363171</v>
      </c>
      <c r="L72" s="39">
        <f t="shared" si="17"/>
        <v>348778.58486968529</v>
      </c>
      <c r="M72" s="39">
        <f t="shared" si="17"/>
        <v>415548.69299504894</v>
      </c>
    </row>
    <row r="73" spans="4:13" x14ac:dyDescent="0.45">
      <c r="D73">
        <f t="shared" si="16"/>
        <v>68</v>
      </c>
      <c r="E73" s="38">
        <f t="shared" ca="1" si="11"/>
        <v>48152</v>
      </c>
      <c r="F73" s="2">
        <f t="shared" si="12"/>
        <v>1198.8949066387256</v>
      </c>
      <c r="G73" s="3">
        <f t="shared" si="13"/>
        <v>5003.324391794833</v>
      </c>
      <c r="H73" s="2">
        <f t="shared" si="14"/>
        <v>6202.2192984335588</v>
      </c>
      <c r="I73" s="3">
        <f t="shared" si="15"/>
        <v>888280.99696799787</v>
      </c>
      <c r="K73" s="39">
        <f t="shared" si="17"/>
        <v>67969.0030320019</v>
      </c>
      <c r="L73" s="39">
        <f t="shared" si="17"/>
        <v>353781.90926148015</v>
      </c>
      <c r="M73" s="39">
        <f t="shared" si="17"/>
        <v>421750.91229348251</v>
      </c>
    </row>
    <row r="74" spans="4:13" x14ac:dyDescent="0.45">
      <c r="D74">
        <f t="shared" si="16"/>
        <v>69</v>
      </c>
      <c r="E74" s="38">
        <f t="shared" ca="1" si="11"/>
        <v>48182</v>
      </c>
      <c r="F74" s="2">
        <f t="shared" si="12"/>
        <v>1205.6386904885683</v>
      </c>
      <c r="G74" s="3">
        <f t="shared" si="13"/>
        <v>4996.5806079449903</v>
      </c>
      <c r="H74" s="2">
        <f t="shared" si="14"/>
        <v>6202.2192984335588</v>
      </c>
      <c r="I74" s="3">
        <f t="shared" si="15"/>
        <v>887075.35827750934</v>
      </c>
      <c r="K74" s="39">
        <f t="shared" si="17"/>
        <v>69174.641722490473</v>
      </c>
      <c r="L74" s="39">
        <f t="shared" si="17"/>
        <v>358778.48986942513</v>
      </c>
      <c r="M74" s="39">
        <f t="shared" si="17"/>
        <v>427953.13159191608</v>
      </c>
    </row>
    <row r="75" spans="4:13" x14ac:dyDescent="0.45">
      <c r="D75">
        <f t="shared" si="16"/>
        <v>70</v>
      </c>
      <c r="E75" s="38">
        <f t="shared" ca="1" si="11"/>
        <v>48213</v>
      </c>
      <c r="F75" s="2">
        <f t="shared" si="12"/>
        <v>1212.4204081225669</v>
      </c>
      <c r="G75" s="3">
        <f t="shared" si="13"/>
        <v>4989.7988903109917</v>
      </c>
      <c r="H75" s="2">
        <f t="shared" si="14"/>
        <v>6202.2192984335588</v>
      </c>
      <c r="I75" s="3">
        <f t="shared" si="15"/>
        <v>885862.93786938675</v>
      </c>
      <c r="K75" s="39">
        <f t="shared" si="17"/>
        <v>70387.062130613034</v>
      </c>
      <c r="L75" s="39">
        <f t="shared" si="17"/>
        <v>363768.28875973611</v>
      </c>
      <c r="M75" s="39">
        <f t="shared" si="17"/>
        <v>434155.35089034965</v>
      </c>
    </row>
    <row r="76" spans="4:13" x14ac:dyDescent="0.45">
      <c r="D76">
        <f t="shared" si="16"/>
        <v>71</v>
      </c>
      <c r="E76" s="38">
        <f t="shared" ca="1" si="11"/>
        <v>48244</v>
      </c>
      <c r="F76" s="2">
        <f t="shared" si="12"/>
        <v>1219.2402729182563</v>
      </c>
      <c r="G76" s="3">
        <f t="shared" si="13"/>
        <v>4982.9790255153021</v>
      </c>
      <c r="H76" s="2">
        <f t="shared" si="14"/>
        <v>6202.2192984335588</v>
      </c>
      <c r="I76" s="3">
        <f t="shared" si="15"/>
        <v>884643.6975964685</v>
      </c>
      <c r="K76" s="39">
        <f t="shared" si="17"/>
        <v>71606.302403531285</v>
      </c>
      <c r="L76" s="39">
        <f t="shared" si="17"/>
        <v>368751.26778525143</v>
      </c>
      <c r="M76" s="39">
        <f t="shared" si="17"/>
        <v>440357.57018878323</v>
      </c>
    </row>
    <row r="77" spans="4:13" x14ac:dyDescent="0.45">
      <c r="D77">
        <f t="shared" si="16"/>
        <v>72</v>
      </c>
      <c r="E77" s="38">
        <f t="shared" ca="1" si="11"/>
        <v>48273</v>
      </c>
      <c r="F77" s="2">
        <f t="shared" si="12"/>
        <v>1226.0984994534215</v>
      </c>
      <c r="G77" s="3">
        <f t="shared" si="13"/>
        <v>4976.1207989801369</v>
      </c>
      <c r="H77" s="2">
        <f t="shared" si="14"/>
        <v>6202.2192984335588</v>
      </c>
      <c r="I77" s="3">
        <f t="shared" si="15"/>
        <v>883417.5990970151</v>
      </c>
      <c r="K77" s="39">
        <f t="shared" si="17"/>
        <v>72832.400902984707</v>
      </c>
      <c r="L77" s="39">
        <f t="shared" si="17"/>
        <v>373727.38858423155</v>
      </c>
      <c r="M77" s="39">
        <f t="shared" si="17"/>
        <v>446559.7894872168</v>
      </c>
    </row>
    <row r="78" spans="4:13" x14ac:dyDescent="0.45">
      <c r="D78">
        <f t="shared" si="16"/>
        <v>73</v>
      </c>
      <c r="E78" s="38">
        <f t="shared" ca="1" si="11"/>
        <v>48304</v>
      </c>
      <c r="F78" s="2">
        <f t="shared" si="12"/>
        <v>1232.9953035128467</v>
      </c>
      <c r="G78" s="3">
        <f t="shared" si="13"/>
        <v>4969.2239949207124</v>
      </c>
      <c r="H78" s="2">
        <f t="shared" si="14"/>
        <v>6202.2192984335588</v>
      </c>
      <c r="I78" s="3">
        <f t="shared" si="15"/>
        <v>882184.6037935022</v>
      </c>
      <c r="K78" s="39">
        <f t="shared" si="17"/>
        <v>74065.396206497549</v>
      </c>
      <c r="L78" s="39">
        <f t="shared" si="17"/>
        <v>378696.61257915228</v>
      </c>
      <c r="M78" s="39">
        <f t="shared" si="17"/>
        <v>452762.00878565037</v>
      </c>
    </row>
    <row r="79" spans="4:13" x14ac:dyDescent="0.45">
      <c r="D79">
        <f t="shared" si="16"/>
        <v>74</v>
      </c>
      <c r="E79" s="38">
        <f t="shared" ca="1" si="11"/>
        <v>48334</v>
      </c>
      <c r="F79" s="2">
        <f t="shared" si="12"/>
        <v>1239.9309020951064</v>
      </c>
      <c r="G79" s="3">
        <f t="shared" si="13"/>
        <v>4962.288396338452</v>
      </c>
      <c r="H79" s="2">
        <f t="shared" si="14"/>
        <v>6202.2192984335588</v>
      </c>
      <c r="I79" s="3">
        <f t="shared" si="15"/>
        <v>880944.67289140704</v>
      </c>
      <c r="K79" s="39">
        <f t="shared" si="17"/>
        <v>75305.327108592654</v>
      </c>
      <c r="L79" s="39">
        <f t="shared" si="17"/>
        <v>383658.90097549075</v>
      </c>
      <c r="M79" s="39">
        <f t="shared" si="17"/>
        <v>458964.22808408394</v>
      </c>
    </row>
    <row r="80" spans="4:13" x14ac:dyDescent="0.45">
      <c r="D80">
        <f t="shared" si="16"/>
        <v>75</v>
      </c>
      <c r="E80" s="38">
        <f t="shared" ca="1" si="11"/>
        <v>48365</v>
      </c>
      <c r="F80" s="2">
        <f t="shared" si="12"/>
        <v>1246.9055134193914</v>
      </c>
      <c r="G80" s="3">
        <f t="shared" si="13"/>
        <v>4955.3137850141675</v>
      </c>
      <c r="H80" s="2">
        <f t="shared" si="14"/>
        <v>6202.2192984335588</v>
      </c>
      <c r="I80" s="3">
        <f t="shared" si="15"/>
        <v>879697.76737798762</v>
      </c>
      <c r="K80" s="39">
        <f t="shared" si="17"/>
        <v>76552.232622012045</v>
      </c>
      <c r="L80" s="39">
        <f t="shared" si="17"/>
        <v>388614.2147605049</v>
      </c>
      <c r="M80" s="39">
        <f t="shared" si="17"/>
        <v>465166.44738251751</v>
      </c>
    </row>
    <row r="81" spans="4:13" x14ac:dyDescent="0.45">
      <c r="D81">
        <f t="shared" si="16"/>
        <v>76</v>
      </c>
      <c r="E81" s="38">
        <f t="shared" ca="1" si="11"/>
        <v>48395</v>
      </c>
      <c r="F81" s="2">
        <f t="shared" si="12"/>
        <v>1253.9193569323754</v>
      </c>
      <c r="G81" s="3">
        <f t="shared" si="13"/>
        <v>4948.2999415011836</v>
      </c>
      <c r="H81" s="2">
        <f t="shared" si="14"/>
        <v>6202.2192984335588</v>
      </c>
      <c r="I81" s="3">
        <f t="shared" si="15"/>
        <v>878443.84802105522</v>
      </c>
      <c r="K81" s="39">
        <f t="shared" si="17"/>
        <v>77806.151978944414</v>
      </c>
      <c r="L81" s="39">
        <f t="shared" si="17"/>
        <v>393562.51470200607</v>
      </c>
      <c r="M81" s="39">
        <f t="shared" si="17"/>
        <v>471368.66668095108</v>
      </c>
    </row>
    <row r="82" spans="4:13" x14ac:dyDescent="0.45">
      <c r="D82">
        <f t="shared" si="16"/>
        <v>77</v>
      </c>
      <c r="E82" s="38">
        <f t="shared" ca="1" si="11"/>
        <v>48426</v>
      </c>
      <c r="F82" s="2">
        <f t="shared" si="12"/>
        <v>1260.9726533151202</v>
      </c>
      <c r="G82" s="3">
        <f t="shared" si="13"/>
        <v>4941.2466451184391</v>
      </c>
      <c r="H82" s="2">
        <f t="shared" si="14"/>
        <v>6202.2192984335588</v>
      </c>
      <c r="I82" s="3">
        <f t="shared" si="15"/>
        <v>877182.87536774005</v>
      </c>
      <c r="K82" s="39">
        <f t="shared" si="17"/>
        <v>79067.12463225954</v>
      </c>
      <c r="L82" s="39">
        <f t="shared" si="17"/>
        <v>398503.76134712453</v>
      </c>
      <c r="M82" s="39">
        <f t="shared" si="17"/>
        <v>477570.88597938465</v>
      </c>
    </row>
    <row r="83" spans="4:13" x14ac:dyDescent="0.45">
      <c r="D83">
        <f t="shared" si="16"/>
        <v>78</v>
      </c>
      <c r="E83" s="38">
        <f t="shared" ca="1" si="11"/>
        <v>48457</v>
      </c>
      <c r="F83" s="2">
        <f t="shared" si="12"/>
        <v>1268.0656244900179</v>
      </c>
      <c r="G83" s="3">
        <f t="shared" si="13"/>
        <v>4934.1536739435414</v>
      </c>
      <c r="H83" s="2">
        <f t="shared" si="14"/>
        <v>6202.2192984335588</v>
      </c>
      <c r="I83" s="3">
        <f t="shared" si="15"/>
        <v>875914.80974325002</v>
      </c>
      <c r="K83" s="39">
        <f t="shared" si="17"/>
        <v>80335.190256749556</v>
      </c>
      <c r="L83" s="39">
        <f t="shared" si="17"/>
        <v>403437.91502106807</v>
      </c>
      <c r="M83" s="39">
        <f t="shared" si="17"/>
        <v>483773.10527781822</v>
      </c>
    </row>
    <row r="84" spans="4:13" x14ac:dyDescent="0.45">
      <c r="D84">
        <f t="shared" si="16"/>
        <v>79</v>
      </c>
      <c r="E84" s="38">
        <f t="shared" ca="1" si="11"/>
        <v>48487</v>
      </c>
      <c r="F84" s="2">
        <f t="shared" si="12"/>
        <v>1275.1984936277738</v>
      </c>
      <c r="G84" s="3">
        <f t="shared" si="13"/>
        <v>4927.0208048057848</v>
      </c>
      <c r="H84" s="2">
        <f t="shared" si="14"/>
        <v>6202.2192984335588</v>
      </c>
      <c r="I84" s="3">
        <f t="shared" si="15"/>
        <v>874639.61124962219</v>
      </c>
      <c r="K84" s="39">
        <f t="shared" si="17"/>
        <v>81610.388750377329</v>
      </c>
      <c r="L84" s="39">
        <f t="shared" si="17"/>
        <v>408364.93582587386</v>
      </c>
      <c r="M84" s="39">
        <f t="shared" si="17"/>
        <v>489975.32457625179</v>
      </c>
    </row>
    <row r="85" spans="4:13" x14ac:dyDescent="0.45">
      <c r="D85">
        <f t="shared" si="16"/>
        <v>80</v>
      </c>
      <c r="E85" s="38">
        <f t="shared" ca="1" si="11"/>
        <v>48518</v>
      </c>
      <c r="F85" s="2">
        <f t="shared" si="12"/>
        <v>1282.3714851544305</v>
      </c>
      <c r="G85" s="3">
        <f t="shared" si="13"/>
        <v>4919.8478132791279</v>
      </c>
      <c r="H85" s="2">
        <f t="shared" si="14"/>
        <v>6202.2192984335588</v>
      </c>
      <c r="I85" s="3">
        <f t="shared" si="15"/>
        <v>873357.23976446781</v>
      </c>
      <c r="K85" s="39">
        <f t="shared" si="17"/>
        <v>82892.760235531765</v>
      </c>
      <c r="L85" s="39">
        <f t="shared" si="17"/>
        <v>413284.783639153</v>
      </c>
      <c r="M85" s="39">
        <f t="shared" si="17"/>
        <v>496177.54387468536</v>
      </c>
    </row>
    <row r="86" spans="4:13" x14ac:dyDescent="0.45">
      <c r="D86">
        <f t="shared" si="16"/>
        <v>81</v>
      </c>
      <c r="E86" s="38">
        <f t="shared" ca="1" si="11"/>
        <v>48548</v>
      </c>
      <c r="F86" s="2">
        <f t="shared" si="12"/>
        <v>1289.584824758424</v>
      </c>
      <c r="G86" s="3">
        <f t="shared" si="13"/>
        <v>4912.6344736751344</v>
      </c>
      <c r="H86" s="2">
        <f t="shared" si="14"/>
        <v>6202.2192984335588</v>
      </c>
      <c r="I86" s="3">
        <f t="shared" si="15"/>
        <v>872067.65493970935</v>
      </c>
      <c r="K86" s="39">
        <f t="shared" si="17"/>
        <v>84182.345060290187</v>
      </c>
      <c r="L86" s="39">
        <f t="shared" si="17"/>
        <v>418197.41811282816</v>
      </c>
      <c r="M86" s="39">
        <f t="shared" si="17"/>
        <v>502379.76317311893</v>
      </c>
    </row>
    <row r="87" spans="4:13" x14ac:dyDescent="0.45">
      <c r="D87">
        <f t="shared" si="16"/>
        <v>82</v>
      </c>
      <c r="E87" s="38">
        <f t="shared" ca="1" si="11"/>
        <v>48579</v>
      </c>
      <c r="F87" s="2">
        <f t="shared" si="12"/>
        <v>1296.8387393976902</v>
      </c>
      <c r="G87" s="3">
        <f t="shared" si="13"/>
        <v>4905.3805590358688</v>
      </c>
      <c r="H87" s="2">
        <f t="shared" si="14"/>
        <v>6202.2192984335588</v>
      </c>
      <c r="I87" s="3">
        <f t="shared" si="15"/>
        <v>870770.81620031164</v>
      </c>
      <c r="K87" s="39">
        <f t="shared" si="17"/>
        <v>85479.183799687875</v>
      </c>
      <c r="L87" s="39">
        <f t="shared" si="17"/>
        <v>423102.79867186403</v>
      </c>
      <c r="M87" s="39">
        <f t="shared" si="17"/>
        <v>508581.9824715525</v>
      </c>
    </row>
    <row r="88" spans="4:13" x14ac:dyDescent="0.45">
      <c r="D88">
        <f t="shared" si="16"/>
        <v>83</v>
      </c>
      <c r="E88" s="38">
        <f t="shared" ca="1" si="11"/>
        <v>48610</v>
      </c>
      <c r="F88" s="2">
        <f t="shared" si="12"/>
        <v>1304.1334573068023</v>
      </c>
      <c r="G88" s="3">
        <f t="shared" si="13"/>
        <v>4898.0858411267563</v>
      </c>
      <c r="H88" s="2">
        <f t="shared" si="14"/>
        <v>6202.2192984335588</v>
      </c>
      <c r="I88" s="3">
        <f t="shared" si="15"/>
        <v>869466.68274300487</v>
      </c>
      <c r="K88" s="39">
        <f t="shared" ref="K88:M103" si="18">K87+F88</f>
        <v>86783.317256994676</v>
      </c>
      <c r="L88" s="39">
        <f t="shared" si="18"/>
        <v>428000.88451299077</v>
      </c>
      <c r="M88" s="39">
        <f t="shared" si="18"/>
        <v>514784.20176998607</v>
      </c>
    </row>
    <row r="89" spans="4:13" x14ac:dyDescent="0.45">
      <c r="D89">
        <f t="shared" si="16"/>
        <v>84</v>
      </c>
      <c r="E89" s="38">
        <f t="shared" ca="1" si="11"/>
        <v>48638</v>
      </c>
      <c r="F89" s="2">
        <f t="shared" si="12"/>
        <v>1311.469208004153</v>
      </c>
      <c r="G89" s="3">
        <f t="shared" si="13"/>
        <v>4890.7500904294056</v>
      </c>
      <c r="H89" s="2">
        <f t="shared" si="14"/>
        <v>6202.2192984335588</v>
      </c>
      <c r="I89" s="3">
        <f t="shared" si="15"/>
        <v>868155.21353500069</v>
      </c>
      <c r="K89" s="39">
        <f t="shared" si="18"/>
        <v>88094.786464998833</v>
      </c>
      <c r="L89" s="39">
        <f t="shared" si="18"/>
        <v>432891.63460342016</v>
      </c>
      <c r="M89" s="39">
        <f t="shared" si="18"/>
        <v>520986.42106841964</v>
      </c>
    </row>
    <row r="90" spans="4:13" x14ac:dyDescent="0.45">
      <c r="D90">
        <f t="shared" si="16"/>
        <v>85</v>
      </c>
      <c r="E90" s="38">
        <f t="shared" ca="1" si="11"/>
        <v>48669</v>
      </c>
      <c r="F90" s="2">
        <f t="shared" si="12"/>
        <v>1318.8462222991761</v>
      </c>
      <c r="G90" s="3">
        <f t="shared" si="13"/>
        <v>4883.3730761343832</v>
      </c>
      <c r="H90" s="2">
        <f t="shared" si="14"/>
        <v>6202.2192984335588</v>
      </c>
      <c r="I90" s="3">
        <f t="shared" si="15"/>
        <v>866836.36731270154</v>
      </c>
      <c r="K90" s="39">
        <f t="shared" si="18"/>
        <v>89413.632687298013</v>
      </c>
      <c r="L90" s="39">
        <f t="shared" si="18"/>
        <v>437775.00767955452</v>
      </c>
      <c r="M90" s="39">
        <f t="shared" si="18"/>
        <v>527188.64036685321</v>
      </c>
    </row>
    <row r="91" spans="4:13" x14ac:dyDescent="0.45">
      <c r="D91">
        <f t="shared" si="16"/>
        <v>86</v>
      </c>
      <c r="E91" s="38">
        <f t="shared" ca="1" si="11"/>
        <v>48699</v>
      </c>
      <c r="F91" s="2">
        <f t="shared" si="12"/>
        <v>1326.264732299609</v>
      </c>
      <c r="G91" s="3">
        <f t="shared" si="13"/>
        <v>4875.9545661339498</v>
      </c>
      <c r="H91" s="2">
        <f t="shared" si="14"/>
        <v>6202.2192984335588</v>
      </c>
      <c r="I91" s="3">
        <f t="shared" si="15"/>
        <v>865510.10258040193</v>
      </c>
      <c r="K91" s="39">
        <f t="shared" si="18"/>
        <v>90739.897419597619</v>
      </c>
      <c r="L91" s="39">
        <f t="shared" si="18"/>
        <v>442650.96224568848</v>
      </c>
      <c r="M91" s="39">
        <f t="shared" si="18"/>
        <v>533390.85966528673</v>
      </c>
    </row>
    <row r="92" spans="4:13" x14ac:dyDescent="0.45">
      <c r="D92">
        <f t="shared" si="16"/>
        <v>87</v>
      </c>
      <c r="E92" s="38">
        <f t="shared" ca="1" si="11"/>
        <v>48730</v>
      </c>
      <c r="F92" s="2">
        <f t="shared" si="12"/>
        <v>1333.7249714187944</v>
      </c>
      <c r="G92" s="3">
        <f t="shared" si="13"/>
        <v>4868.4943270147642</v>
      </c>
      <c r="H92" s="2">
        <f t="shared" si="14"/>
        <v>6202.2192984335588</v>
      </c>
      <c r="I92" s="3">
        <f t="shared" si="15"/>
        <v>864176.37760898308</v>
      </c>
      <c r="K92" s="39">
        <f t="shared" si="18"/>
        <v>92073.622391016412</v>
      </c>
      <c r="L92" s="39">
        <f t="shared" si="18"/>
        <v>447519.45657270326</v>
      </c>
      <c r="M92" s="39">
        <f t="shared" si="18"/>
        <v>539593.07896372024</v>
      </c>
    </row>
    <row r="93" spans="4:13" x14ac:dyDescent="0.45">
      <c r="D93">
        <f t="shared" si="16"/>
        <v>88</v>
      </c>
      <c r="E93" s="38">
        <f t="shared" ca="1" si="11"/>
        <v>48760</v>
      </c>
      <c r="F93" s="2">
        <f t="shared" si="12"/>
        <v>1341.2271743830249</v>
      </c>
      <c r="G93" s="3">
        <f t="shared" si="13"/>
        <v>4860.9921240505337</v>
      </c>
      <c r="H93" s="2">
        <f t="shared" si="14"/>
        <v>6202.2192984335588</v>
      </c>
      <c r="I93" s="3">
        <f t="shared" si="15"/>
        <v>862835.15043460007</v>
      </c>
      <c r="K93" s="39">
        <f t="shared" si="18"/>
        <v>93414.849565399432</v>
      </c>
      <c r="L93" s="39">
        <f t="shared" si="18"/>
        <v>452380.44869675377</v>
      </c>
      <c r="M93" s="39">
        <f t="shared" si="18"/>
        <v>545795.29826215375</v>
      </c>
    </row>
    <row r="94" spans="4:13" x14ac:dyDescent="0.45">
      <c r="D94">
        <f t="shared" si="16"/>
        <v>89</v>
      </c>
      <c r="E94" s="38">
        <f t="shared" ca="1" si="11"/>
        <v>48791</v>
      </c>
      <c r="F94" s="2">
        <f t="shared" si="12"/>
        <v>1348.7715772389295</v>
      </c>
      <c r="G94" s="3">
        <f t="shared" si="13"/>
        <v>4853.4477211946296</v>
      </c>
      <c r="H94" s="2">
        <f t="shared" si="14"/>
        <v>6202.2192984335588</v>
      </c>
      <c r="I94" s="3">
        <f t="shared" si="15"/>
        <v>861486.37885736115</v>
      </c>
      <c r="K94" s="39">
        <f t="shared" si="18"/>
        <v>94763.621142638367</v>
      </c>
      <c r="L94" s="39">
        <f t="shared" si="18"/>
        <v>457233.89641794842</v>
      </c>
      <c r="M94" s="39">
        <f t="shared" si="18"/>
        <v>551997.51756058726</v>
      </c>
    </row>
    <row r="95" spans="4:13" x14ac:dyDescent="0.45">
      <c r="D95">
        <f t="shared" si="16"/>
        <v>90</v>
      </c>
      <c r="E95" s="38">
        <f t="shared" ca="1" si="11"/>
        <v>48822</v>
      </c>
      <c r="F95" s="2">
        <f t="shared" si="12"/>
        <v>1356.3584173608988</v>
      </c>
      <c r="G95" s="3">
        <f t="shared" si="13"/>
        <v>4845.86088107266</v>
      </c>
      <c r="H95" s="2">
        <f t="shared" si="14"/>
        <v>6202.2192984335588</v>
      </c>
      <c r="I95" s="3">
        <f t="shared" si="15"/>
        <v>860130.02044000023</v>
      </c>
      <c r="K95" s="39">
        <f t="shared" si="18"/>
        <v>96119.979559999265</v>
      </c>
      <c r="L95" s="39">
        <f t="shared" si="18"/>
        <v>462079.75729902106</v>
      </c>
      <c r="M95" s="39">
        <f t="shared" si="18"/>
        <v>558199.73685902078</v>
      </c>
    </row>
    <row r="96" spans="4:13" x14ac:dyDescent="0.45">
      <c r="D96">
        <f t="shared" si="16"/>
        <v>91</v>
      </c>
      <c r="E96" s="38">
        <f t="shared" ca="1" si="11"/>
        <v>48852</v>
      </c>
      <c r="F96" s="2">
        <f t="shared" si="12"/>
        <v>1363.9879334585537</v>
      </c>
      <c r="G96" s="3">
        <f t="shared" si="13"/>
        <v>4838.2313649750049</v>
      </c>
      <c r="H96" s="2">
        <f t="shared" si="14"/>
        <v>6202.2192984335588</v>
      </c>
      <c r="I96" s="3">
        <f t="shared" si="15"/>
        <v>858766.0325065417</v>
      </c>
      <c r="K96" s="39">
        <f t="shared" si="18"/>
        <v>97483.967493457822</v>
      </c>
      <c r="L96" s="39">
        <f t="shared" si="18"/>
        <v>466917.98866399605</v>
      </c>
      <c r="M96" s="39">
        <f t="shared" si="18"/>
        <v>564401.95615745429</v>
      </c>
    </row>
    <row r="97" spans="4:13" x14ac:dyDescent="0.45">
      <c r="D97">
        <f t="shared" si="16"/>
        <v>92</v>
      </c>
      <c r="E97" s="38">
        <f t="shared" ca="1" si="11"/>
        <v>48883</v>
      </c>
      <c r="F97" s="2">
        <f t="shared" si="12"/>
        <v>1371.6603655842582</v>
      </c>
      <c r="G97" s="3">
        <f t="shared" si="13"/>
        <v>4830.5589328493006</v>
      </c>
      <c r="H97" s="2">
        <f t="shared" si="14"/>
        <v>6202.2192984335588</v>
      </c>
      <c r="I97" s="3">
        <f t="shared" si="15"/>
        <v>857394.37214095739</v>
      </c>
      <c r="K97" s="39">
        <f t="shared" si="18"/>
        <v>98855.627859042084</v>
      </c>
      <c r="L97" s="39">
        <f t="shared" si="18"/>
        <v>471748.54759684537</v>
      </c>
      <c r="M97" s="39">
        <f t="shared" si="18"/>
        <v>570604.1754558878</v>
      </c>
    </row>
    <row r="98" spans="4:13" x14ac:dyDescent="0.45">
      <c r="D98">
        <f t="shared" si="16"/>
        <v>93</v>
      </c>
      <c r="E98" s="38">
        <f t="shared" ca="1" si="11"/>
        <v>48913</v>
      </c>
      <c r="F98" s="2">
        <f t="shared" si="12"/>
        <v>1379.3759551406695</v>
      </c>
      <c r="G98" s="3">
        <f t="shared" si="13"/>
        <v>4822.8433432928896</v>
      </c>
      <c r="H98" s="2">
        <f t="shared" si="14"/>
        <v>6202.2192984335588</v>
      </c>
      <c r="I98" s="3">
        <f t="shared" si="15"/>
        <v>856014.99618581671</v>
      </c>
      <c r="K98" s="39">
        <f t="shared" si="18"/>
        <v>100235.00381418275</v>
      </c>
      <c r="L98" s="39">
        <f t="shared" si="18"/>
        <v>476571.39094013826</v>
      </c>
      <c r="M98" s="39">
        <f t="shared" si="18"/>
        <v>576806.39475432131</v>
      </c>
    </row>
    <row r="99" spans="4:13" x14ac:dyDescent="0.45">
      <c r="D99">
        <f t="shared" si="16"/>
        <v>94</v>
      </c>
      <c r="E99" s="38">
        <f t="shared" ca="1" si="11"/>
        <v>48944</v>
      </c>
      <c r="F99" s="2">
        <f t="shared" si="12"/>
        <v>1387.1349448883357</v>
      </c>
      <c r="G99" s="3">
        <f t="shared" si="13"/>
        <v>4815.0843535452232</v>
      </c>
      <c r="H99" s="2">
        <f t="shared" si="14"/>
        <v>6202.2192984335588</v>
      </c>
      <c r="I99" s="3">
        <f t="shared" si="15"/>
        <v>854627.86124092841</v>
      </c>
      <c r="K99" s="39">
        <f t="shared" si="18"/>
        <v>101622.13875907109</v>
      </c>
      <c r="L99" s="39">
        <f t="shared" si="18"/>
        <v>481386.47529368347</v>
      </c>
      <c r="M99" s="39">
        <f t="shared" si="18"/>
        <v>583008.61405275483</v>
      </c>
    </row>
    <row r="100" spans="4:13" x14ac:dyDescent="0.45">
      <c r="D100">
        <f t="shared" si="16"/>
        <v>95</v>
      </c>
      <c r="E100" s="38">
        <f t="shared" ca="1" si="11"/>
        <v>48975</v>
      </c>
      <c r="F100" s="2">
        <f t="shared" si="12"/>
        <v>1394.9375789533328</v>
      </c>
      <c r="G100" s="3">
        <f t="shared" si="13"/>
        <v>4807.2817194802265</v>
      </c>
      <c r="H100" s="2">
        <f t="shared" si="14"/>
        <v>6202.2192984335588</v>
      </c>
      <c r="I100" s="3">
        <f t="shared" si="15"/>
        <v>853232.92366197507</v>
      </c>
      <c r="K100" s="39">
        <f t="shared" si="18"/>
        <v>103017.07633802443</v>
      </c>
      <c r="L100" s="39">
        <f t="shared" si="18"/>
        <v>486193.7570131637</v>
      </c>
      <c r="M100" s="39">
        <f t="shared" si="18"/>
        <v>589210.83335118834</v>
      </c>
    </row>
    <row r="101" spans="4:13" x14ac:dyDescent="0.45">
      <c r="D101">
        <f t="shared" si="16"/>
        <v>96</v>
      </c>
      <c r="E101" s="38">
        <f t="shared" ca="1" si="11"/>
        <v>49003</v>
      </c>
      <c r="F101" s="2">
        <f t="shared" si="12"/>
        <v>1402.7841028349451</v>
      </c>
      <c r="G101" s="3">
        <f t="shared" si="13"/>
        <v>4799.435195598614</v>
      </c>
      <c r="H101" s="2">
        <f t="shared" si="14"/>
        <v>6202.2192984335588</v>
      </c>
      <c r="I101" s="3">
        <f t="shared" si="15"/>
        <v>851830.13955914008</v>
      </c>
      <c r="K101" s="39">
        <f t="shared" si="18"/>
        <v>104419.86044085938</v>
      </c>
      <c r="L101" s="39">
        <f t="shared" si="18"/>
        <v>490993.19220876234</v>
      </c>
      <c r="M101" s="39">
        <f t="shared" si="18"/>
        <v>595413.05264962185</v>
      </c>
    </row>
    <row r="102" spans="4:13" x14ac:dyDescent="0.45">
      <c r="D102">
        <f t="shared" si="16"/>
        <v>97</v>
      </c>
      <c r="E102" s="38">
        <f t="shared" ca="1" si="11"/>
        <v>49034</v>
      </c>
      <c r="F102" s="2">
        <f t="shared" si="12"/>
        <v>1410.6747634133917</v>
      </c>
      <c r="G102" s="3">
        <f t="shared" si="13"/>
        <v>4791.5445350201671</v>
      </c>
      <c r="H102" s="2">
        <f t="shared" si="14"/>
        <v>6202.2192984335588</v>
      </c>
      <c r="I102" s="3">
        <f t="shared" si="15"/>
        <v>850419.4647957267</v>
      </c>
      <c r="K102" s="39">
        <f t="shared" si="18"/>
        <v>105830.53520427278</v>
      </c>
      <c r="L102" s="39">
        <f t="shared" si="18"/>
        <v>495784.73674378253</v>
      </c>
      <c r="M102" s="39">
        <f t="shared" si="18"/>
        <v>601615.27194805536</v>
      </c>
    </row>
    <row r="103" spans="4:13" x14ac:dyDescent="0.45">
      <c r="D103">
        <f t="shared" si="16"/>
        <v>98</v>
      </c>
      <c r="E103" s="38">
        <f t="shared" ca="1" si="11"/>
        <v>49064</v>
      </c>
      <c r="F103" s="2">
        <f t="shared" si="12"/>
        <v>1418.6098089575921</v>
      </c>
      <c r="G103" s="3">
        <f t="shared" si="13"/>
        <v>4783.6094894759663</v>
      </c>
      <c r="H103" s="2">
        <f t="shared" si="14"/>
        <v>6202.2192984335588</v>
      </c>
      <c r="I103" s="3">
        <f t="shared" si="15"/>
        <v>849000.85498676915</v>
      </c>
      <c r="K103" s="39">
        <f t="shared" si="18"/>
        <v>107249.14501323037</v>
      </c>
      <c r="L103" s="39">
        <f t="shared" si="18"/>
        <v>500568.34623325849</v>
      </c>
      <c r="M103" s="39">
        <f t="shared" si="18"/>
        <v>607817.49124648888</v>
      </c>
    </row>
    <row r="104" spans="4:13" x14ac:dyDescent="0.45">
      <c r="D104">
        <f t="shared" si="16"/>
        <v>99</v>
      </c>
      <c r="E104" s="38">
        <f t="shared" ca="1" si="11"/>
        <v>49095</v>
      </c>
      <c r="F104" s="2">
        <f t="shared" si="12"/>
        <v>1426.5894891329783</v>
      </c>
      <c r="G104" s="3">
        <f t="shared" si="13"/>
        <v>4775.6298093005807</v>
      </c>
      <c r="H104" s="2">
        <f t="shared" si="14"/>
        <v>6202.2192984335588</v>
      </c>
      <c r="I104" s="3">
        <f t="shared" si="15"/>
        <v>847574.26549763617</v>
      </c>
      <c r="K104" s="39">
        <f t="shared" ref="K104:M119" si="19">K103+F104</f>
        <v>108675.73450236335</v>
      </c>
      <c r="L104" s="39">
        <f t="shared" si="19"/>
        <v>505343.97604255908</v>
      </c>
      <c r="M104" s="39">
        <f t="shared" si="19"/>
        <v>614019.71054492239</v>
      </c>
    </row>
    <row r="105" spans="4:13" x14ac:dyDescent="0.45">
      <c r="D105">
        <f t="shared" si="16"/>
        <v>100</v>
      </c>
      <c r="E105" s="38">
        <f t="shared" ca="1" si="11"/>
        <v>49125</v>
      </c>
      <c r="F105" s="2">
        <f t="shared" si="12"/>
        <v>1434.6140550093519</v>
      </c>
      <c r="G105" s="3">
        <f t="shared" si="13"/>
        <v>4767.6052434242065</v>
      </c>
      <c r="H105" s="2">
        <f t="shared" si="14"/>
        <v>6202.2192984335588</v>
      </c>
      <c r="I105" s="3">
        <f t="shared" si="15"/>
        <v>846139.65144262684</v>
      </c>
      <c r="K105" s="39">
        <f t="shared" si="19"/>
        <v>110110.34855737271</v>
      </c>
      <c r="L105" s="39">
        <f t="shared" si="19"/>
        <v>510111.58128598327</v>
      </c>
      <c r="M105" s="39">
        <f t="shared" si="19"/>
        <v>620221.9298433559</v>
      </c>
    </row>
    <row r="106" spans="4:13" x14ac:dyDescent="0.45">
      <c r="D106">
        <f t="shared" si="16"/>
        <v>101</v>
      </c>
      <c r="E106" s="38">
        <f t="shared" ca="1" si="11"/>
        <v>49156</v>
      </c>
      <c r="F106" s="2">
        <f t="shared" si="12"/>
        <v>1442.6837590687792</v>
      </c>
      <c r="G106" s="3">
        <f t="shared" si="13"/>
        <v>4759.5355393647797</v>
      </c>
      <c r="H106" s="2">
        <f t="shared" si="14"/>
        <v>6202.2192984335588</v>
      </c>
      <c r="I106" s="3">
        <f t="shared" si="15"/>
        <v>844696.96768355812</v>
      </c>
      <c r="K106" s="39">
        <f t="shared" si="19"/>
        <v>111553.03231644149</v>
      </c>
      <c r="L106" s="39">
        <f t="shared" si="19"/>
        <v>514871.11682534806</v>
      </c>
      <c r="M106" s="39">
        <f t="shared" si="19"/>
        <v>626424.14914178941</v>
      </c>
    </row>
    <row r="107" spans="4:13" x14ac:dyDescent="0.45">
      <c r="D107">
        <f t="shared" si="16"/>
        <v>102</v>
      </c>
      <c r="E107" s="38">
        <f t="shared" ca="1" si="11"/>
        <v>49187</v>
      </c>
      <c r="F107" s="2">
        <f t="shared" si="12"/>
        <v>1450.7988552135412</v>
      </c>
      <c r="G107" s="3">
        <f t="shared" si="13"/>
        <v>4751.4204432200177</v>
      </c>
      <c r="H107" s="2">
        <f t="shared" si="14"/>
        <v>6202.2192984335588</v>
      </c>
      <c r="I107" s="3">
        <f t="shared" si="15"/>
        <v>843246.16882834455</v>
      </c>
      <c r="K107" s="39">
        <f t="shared" si="19"/>
        <v>113003.83117165502</v>
      </c>
      <c r="L107" s="39">
        <f t="shared" si="19"/>
        <v>519622.53726856806</v>
      </c>
      <c r="M107" s="39">
        <f t="shared" si="19"/>
        <v>632626.36844022293</v>
      </c>
    </row>
    <row r="108" spans="4:13" x14ac:dyDescent="0.45">
      <c r="D108">
        <f t="shared" si="16"/>
        <v>103</v>
      </c>
      <c r="E108" s="38">
        <f t="shared" ca="1" si="11"/>
        <v>49217</v>
      </c>
      <c r="F108" s="2">
        <f t="shared" si="12"/>
        <v>1458.9595987741172</v>
      </c>
      <c r="G108" s="3">
        <f t="shared" si="13"/>
        <v>4743.259699659442</v>
      </c>
      <c r="H108" s="2">
        <f t="shared" si="14"/>
        <v>6202.2192984335588</v>
      </c>
      <c r="I108" s="3">
        <f t="shared" si="15"/>
        <v>841787.20922957046</v>
      </c>
      <c r="K108" s="39">
        <f t="shared" si="19"/>
        <v>114462.79077042914</v>
      </c>
      <c r="L108" s="39">
        <f t="shared" si="19"/>
        <v>524365.79696822749</v>
      </c>
      <c r="M108" s="39">
        <f t="shared" si="19"/>
        <v>638828.58773865644</v>
      </c>
    </row>
    <row r="109" spans="4:13" x14ac:dyDescent="0.45">
      <c r="D109">
        <f t="shared" si="16"/>
        <v>104</v>
      </c>
      <c r="E109" s="38">
        <f t="shared" ca="1" si="11"/>
        <v>49248</v>
      </c>
      <c r="F109" s="2">
        <f t="shared" si="12"/>
        <v>1467.1662465172217</v>
      </c>
      <c r="G109" s="3">
        <f t="shared" si="13"/>
        <v>4735.0530519163367</v>
      </c>
      <c r="H109" s="2">
        <f t="shared" si="14"/>
        <v>6202.2192984335588</v>
      </c>
      <c r="I109" s="3">
        <f t="shared" si="15"/>
        <v>840320.04298305325</v>
      </c>
      <c r="K109" s="39">
        <f t="shared" si="19"/>
        <v>115929.95701694637</v>
      </c>
      <c r="L109" s="39">
        <f t="shared" si="19"/>
        <v>529100.85002014379</v>
      </c>
      <c r="M109" s="39">
        <f t="shared" si="19"/>
        <v>645030.80703708995</v>
      </c>
    </row>
    <row r="110" spans="4:13" x14ac:dyDescent="0.45">
      <c r="D110">
        <f t="shared" si="16"/>
        <v>105</v>
      </c>
      <c r="E110" s="38">
        <f t="shared" ca="1" si="11"/>
        <v>49278</v>
      </c>
      <c r="F110" s="2">
        <f t="shared" si="12"/>
        <v>1475.4190566538809</v>
      </c>
      <c r="G110" s="3">
        <f t="shared" si="13"/>
        <v>4726.8002417796779</v>
      </c>
      <c r="H110" s="2">
        <f t="shared" si="14"/>
        <v>6202.2192984335588</v>
      </c>
      <c r="I110" s="3">
        <f t="shared" si="15"/>
        <v>838844.62392639939</v>
      </c>
      <c r="K110" s="39">
        <f t="shared" si="19"/>
        <v>117405.37607360024</v>
      </c>
      <c r="L110" s="39">
        <f t="shared" si="19"/>
        <v>533827.65026192344</v>
      </c>
      <c r="M110" s="39">
        <f t="shared" si="19"/>
        <v>651233.02633552346</v>
      </c>
    </row>
    <row r="111" spans="4:13" x14ac:dyDescent="0.45">
      <c r="D111">
        <f t="shared" si="16"/>
        <v>106</v>
      </c>
      <c r="E111" s="38">
        <f t="shared" ca="1" si="11"/>
        <v>49309</v>
      </c>
      <c r="F111" s="2">
        <f t="shared" si="12"/>
        <v>1483.7182888475588</v>
      </c>
      <c r="G111" s="3">
        <f t="shared" si="13"/>
        <v>4718.5010095859998</v>
      </c>
      <c r="H111" s="2">
        <f t="shared" si="14"/>
        <v>6202.2192984335588</v>
      </c>
      <c r="I111" s="3">
        <f t="shared" si="15"/>
        <v>837360.9056375518</v>
      </c>
      <c r="K111" s="39">
        <f t="shared" si="19"/>
        <v>118889.09436244781</v>
      </c>
      <c r="L111" s="39">
        <f t="shared" si="19"/>
        <v>538546.15127150947</v>
      </c>
      <c r="M111" s="39">
        <f t="shared" si="19"/>
        <v>657435.24563395698</v>
      </c>
    </row>
    <row r="112" spans="4:13" x14ac:dyDescent="0.45">
      <c r="D112">
        <f t="shared" si="16"/>
        <v>107</v>
      </c>
      <c r="E112" s="38">
        <f t="shared" ca="1" si="11"/>
        <v>49340</v>
      </c>
      <c r="F112" s="2">
        <f t="shared" si="12"/>
        <v>1492.0642042223265</v>
      </c>
      <c r="G112" s="3">
        <f t="shared" si="13"/>
        <v>4710.1550942112326</v>
      </c>
      <c r="H112" s="2">
        <f t="shared" si="14"/>
        <v>6202.2192984335588</v>
      </c>
      <c r="I112" s="3">
        <f t="shared" si="15"/>
        <v>835868.84143332951</v>
      </c>
      <c r="K112" s="39">
        <f t="shared" si="19"/>
        <v>120381.15856667014</v>
      </c>
      <c r="L112" s="39">
        <f t="shared" si="19"/>
        <v>543256.30636572069</v>
      </c>
      <c r="M112" s="39">
        <f t="shared" si="19"/>
        <v>663637.46493239049</v>
      </c>
    </row>
    <row r="113" spans="4:13" x14ac:dyDescent="0.45">
      <c r="D113">
        <f t="shared" si="16"/>
        <v>108</v>
      </c>
      <c r="E113" s="38">
        <f t="shared" ca="1" si="11"/>
        <v>49368</v>
      </c>
      <c r="F113" s="2">
        <f t="shared" si="12"/>
        <v>1500.4570653710769</v>
      </c>
      <c r="G113" s="3">
        <f t="shared" si="13"/>
        <v>4701.7622330624818</v>
      </c>
      <c r="H113" s="2">
        <f t="shared" si="14"/>
        <v>6202.2192984335588</v>
      </c>
      <c r="I113" s="3">
        <f t="shared" si="15"/>
        <v>834368.38436795841</v>
      </c>
      <c r="K113" s="39">
        <f t="shared" si="19"/>
        <v>121881.61563204123</v>
      </c>
      <c r="L113" s="39">
        <f t="shared" si="19"/>
        <v>547958.06859878323</v>
      </c>
      <c r="M113" s="39">
        <f t="shared" si="19"/>
        <v>669839.684230824</v>
      </c>
    </row>
    <row r="114" spans="4:13" x14ac:dyDescent="0.45">
      <c r="D114">
        <f t="shared" si="16"/>
        <v>109</v>
      </c>
      <c r="E114" s="38">
        <f t="shared" ca="1" si="11"/>
        <v>49399</v>
      </c>
      <c r="F114" s="2">
        <f t="shared" si="12"/>
        <v>1508.8971363637893</v>
      </c>
      <c r="G114" s="3">
        <f t="shared" si="13"/>
        <v>4693.3221620697695</v>
      </c>
      <c r="H114" s="2">
        <f t="shared" si="14"/>
        <v>6202.2192984335588</v>
      </c>
      <c r="I114" s="3">
        <f t="shared" si="15"/>
        <v>832859.48723159463</v>
      </c>
      <c r="K114" s="39">
        <f t="shared" si="19"/>
        <v>123390.51276840501</v>
      </c>
      <c r="L114" s="39">
        <f t="shared" si="19"/>
        <v>552651.39076085296</v>
      </c>
      <c r="M114" s="39">
        <f t="shared" si="19"/>
        <v>676041.90352925751</v>
      </c>
    </row>
    <row r="115" spans="4:13" x14ac:dyDescent="0.45">
      <c r="D115">
        <f t="shared" si="16"/>
        <v>110</v>
      </c>
      <c r="E115" s="38">
        <f t="shared" ca="1" si="11"/>
        <v>49429</v>
      </c>
      <c r="F115" s="2">
        <f t="shared" si="12"/>
        <v>1517.3846827558357</v>
      </c>
      <c r="G115" s="3">
        <f t="shared" si="13"/>
        <v>4684.8346156777234</v>
      </c>
      <c r="H115" s="2">
        <f t="shared" si="14"/>
        <v>6202.2192984335588</v>
      </c>
      <c r="I115" s="3">
        <f t="shared" si="15"/>
        <v>831342.10254883883</v>
      </c>
      <c r="K115" s="39">
        <f t="shared" si="19"/>
        <v>124907.89745116084</v>
      </c>
      <c r="L115" s="39">
        <f t="shared" si="19"/>
        <v>557336.22537653067</v>
      </c>
      <c r="M115" s="39">
        <f t="shared" si="19"/>
        <v>682244.12282769103</v>
      </c>
    </row>
    <row r="116" spans="4:13" x14ac:dyDescent="0.45">
      <c r="D116">
        <f t="shared" si="16"/>
        <v>111</v>
      </c>
      <c r="E116" s="38">
        <f t="shared" ca="1" si="11"/>
        <v>49460</v>
      </c>
      <c r="F116" s="2">
        <f t="shared" si="12"/>
        <v>1525.9199715963373</v>
      </c>
      <c r="G116" s="3">
        <f t="shared" si="13"/>
        <v>4676.2993268372211</v>
      </c>
      <c r="H116" s="2">
        <f t="shared" si="14"/>
        <v>6202.2192984335588</v>
      </c>
      <c r="I116" s="3">
        <f t="shared" si="15"/>
        <v>829816.18257724249</v>
      </c>
      <c r="K116" s="39">
        <f t="shared" si="19"/>
        <v>126433.81742275717</v>
      </c>
      <c r="L116" s="39">
        <f t="shared" si="19"/>
        <v>562012.52470336785</v>
      </c>
      <c r="M116" s="39">
        <f t="shared" si="19"/>
        <v>688446.34212612454</v>
      </c>
    </row>
    <row r="117" spans="4:13" x14ac:dyDescent="0.45">
      <c r="D117">
        <f t="shared" si="16"/>
        <v>112</v>
      </c>
      <c r="E117" s="38">
        <f t="shared" ca="1" si="11"/>
        <v>49490</v>
      </c>
      <c r="F117" s="2">
        <f t="shared" si="12"/>
        <v>1534.5032714365668</v>
      </c>
      <c r="G117" s="3">
        <f t="shared" si="13"/>
        <v>4667.7160269969918</v>
      </c>
      <c r="H117" s="2">
        <f t="shared" si="14"/>
        <v>6202.2192984335588</v>
      </c>
      <c r="I117" s="3">
        <f t="shared" si="15"/>
        <v>828281.67930580594</v>
      </c>
      <c r="K117" s="39">
        <f t="shared" si="19"/>
        <v>127968.32069419374</v>
      </c>
      <c r="L117" s="39">
        <f t="shared" si="19"/>
        <v>566680.24073036481</v>
      </c>
      <c r="M117" s="39">
        <f t="shared" si="19"/>
        <v>694648.56142455805</v>
      </c>
    </row>
    <row r="118" spans="4:13" x14ac:dyDescent="0.45">
      <c r="D118">
        <f t="shared" si="16"/>
        <v>113</v>
      </c>
      <c r="E118" s="38">
        <f t="shared" ca="1" si="11"/>
        <v>49521</v>
      </c>
      <c r="F118" s="2">
        <f t="shared" si="12"/>
        <v>1543.1348523383976</v>
      </c>
      <c r="G118" s="3">
        <f t="shared" si="13"/>
        <v>4659.0844460951612</v>
      </c>
      <c r="H118" s="2">
        <f t="shared" si="14"/>
        <v>6202.2192984335588</v>
      </c>
      <c r="I118" s="3">
        <f t="shared" si="15"/>
        <v>826738.54445346759</v>
      </c>
      <c r="K118" s="39">
        <f t="shared" si="19"/>
        <v>129511.45554653213</v>
      </c>
      <c r="L118" s="39">
        <f t="shared" si="19"/>
        <v>571339.32517645997</v>
      </c>
      <c r="M118" s="39">
        <f t="shared" si="19"/>
        <v>700850.78072299156</v>
      </c>
    </row>
    <row r="119" spans="4:13" x14ac:dyDescent="0.45">
      <c r="D119">
        <f t="shared" si="16"/>
        <v>114</v>
      </c>
      <c r="E119" s="38">
        <f t="shared" ca="1" si="11"/>
        <v>49552</v>
      </c>
      <c r="F119" s="2">
        <f t="shared" si="12"/>
        <v>1551.8149858828008</v>
      </c>
      <c r="G119" s="3">
        <f t="shared" si="13"/>
        <v>4650.4043125507578</v>
      </c>
      <c r="H119" s="2">
        <f t="shared" si="14"/>
        <v>6202.2192984335588</v>
      </c>
      <c r="I119" s="3">
        <f t="shared" si="15"/>
        <v>825186.72946758475</v>
      </c>
      <c r="K119" s="39">
        <f t="shared" si="19"/>
        <v>131063.27053241493</v>
      </c>
      <c r="L119" s="39">
        <f t="shared" si="19"/>
        <v>575989.72948901076</v>
      </c>
      <c r="M119" s="39">
        <f t="shared" si="19"/>
        <v>707053.00002142508</v>
      </c>
    </row>
    <row r="120" spans="4:13" x14ac:dyDescent="0.45">
      <c r="D120">
        <f t="shared" si="16"/>
        <v>115</v>
      </c>
      <c r="E120" s="38">
        <f t="shared" ca="1" si="11"/>
        <v>49582</v>
      </c>
      <c r="F120" s="2">
        <f t="shared" si="12"/>
        <v>1560.5439451783918</v>
      </c>
      <c r="G120" s="3">
        <f t="shared" si="13"/>
        <v>4641.6753532551666</v>
      </c>
      <c r="H120" s="2">
        <f t="shared" si="14"/>
        <v>6202.2192984335588</v>
      </c>
      <c r="I120" s="3">
        <f t="shared" si="15"/>
        <v>823626.18552240636</v>
      </c>
      <c r="K120" s="39">
        <f t="shared" ref="K120:M135" si="20">K119+F120</f>
        <v>132623.81447759332</v>
      </c>
      <c r="L120" s="39">
        <f t="shared" si="20"/>
        <v>580631.40484226588</v>
      </c>
      <c r="M120" s="39">
        <f t="shared" si="20"/>
        <v>713255.21931985859</v>
      </c>
    </row>
    <row r="121" spans="4:13" x14ac:dyDescent="0.45">
      <c r="D121">
        <f t="shared" si="16"/>
        <v>116</v>
      </c>
      <c r="E121" s="38">
        <f t="shared" ca="1" si="11"/>
        <v>49613</v>
      </c>
      <c r="F121" s="2">
        <f t="shared" si="12"/>
        <v>1569.32200487002</v>
      </c>
      <c r="G121" s="3">
        <f t="shared" si="13"/>
        <v>4632.8972935635393</v>
      </c>
      <c r="H121" s="2">
        <f t="shared" si="14"/>
        <v>6202.2192984335588</v>
      </c>
      <c r="I121" s="3">
        <f t="shared" si="15"/>
        <v>822056.86351753632</v>
      </c>
      <c r="K121" s="39">
        <f t="shared" si="20"/>
        <v>134193.13648246333</v>
      </c>
      <c r="L121" s="39">
        <f t="shared" si="20"/>
        <v>585264.30213582946</v>
      </c>
      <c r="M121" s="39">
        <f t="shared" si="20"/>
        <v>719457.4386182921</v>
      </c>
    </row>
    <row r="122" spans="4:13" x14ac:dyDescent="0.45">
      <c r="D122">
        <f t="shared" si="16"/>
        <v>117</v>
      </c>
      <c r="E122" s="38">
        <f t="shared" ca="1" si="11"/>
        <v>49643</v>
      </c>
      <c r="F122" s="2">
        <f t="shared" si="12"/>
        <v>1578.1494411474137</v>
      </c>
      <c r="G122" s="3">
        <f t="shared" si="13"/>
        <v>4624.0698572861456</v>
      </c>
      <c r="H122" s="2">
        <f t="shared" si="14"/>
        <v>6202.2192984335588</v>
      </c>
      <c r="I122" s="3">
        <f t="shared" si="15"/>
        <v>820478.71407638886</v>
      </c>
      <c r="K122" s="39">
        <f t="shared" si="20"/>
        <v>135771.28592361076</v>
      </c>
      <c r="L122" s="39">
        <f t="shared" si="20"/>
        <v>589888.37199311564</v>
      </c>
      <c r="M122" s="39">
        <f t="shared" si="20"/>
        <v>725659.65791672561</v>
      </c>
    </row>
    <row r="123" spans="4:13" x14ac:dyDescent="0.45">
      <c r="D123">
        <f t="shared" si="16"/>
        <v>118</v>
      </c>
      <c r="E123" s="38">
        <f t="shared" ca="1" si="11"/>
        <v>49674</v>
      </c>
      <c r="F123" s="2">
        <f t="shared" si="12"/>
        <v>1587.0265317538683</v>
      </c>
      <c r="G123" s="3">
        <f t="shared" si="13"/>
        <v>4615.192766679691</v>
      </c>
      <c r="H123" s="2">
        <f t="shared" si="14"/>
        <v>6202.2192984335588</v>
      </c>
      <c r="I123" s="3">
        <f t="shared" si="15"/>
        <v>818891.68754463503</v>
      </c>
      <c r="K123" s="39">
        <f t="shared" si="20"/>
        <v>137358.31245536462</v>
      </c>
      <c r="L123" s="39">
        <f t="shared" si="20"/>
        <v>594503.56475979532</v>
      </c>
      <c r="M123" s="39">
        <f t="shared" si="20"/>
        <v>731861.87721515913</v>
      </c>
    </row>
    <row r="124" spans="4:13" x14ac:dyDescent="0.45">
      <c r="D124">
        <f t="shared" si="16"/>
        <v>119</v>
      </c>
      <c r="E124" s="38">
        <f t="shared" ca="1" si="11"/>
        <v>49705</v>
      </c>
      <c r="F124" s="2">
        <f t="shared" si="12"/>
        <v>1595.9535559949836</v>
      </c>
      <c r="G124" s="3">
        <f t="shared" si="13"/>
        <v>4606.2657424385752</v>
      </c>
      <c r="H124" s="2">
        <f t="shared" si="14"/>
        <v>6202.2192984335588</v>
      </c>
      <c r="I124" s="3">
        <f t="shared" si="15"/>
        <v>817295.73398864002</v>
      </c>
      <c r="K124" s="39">
        <f t="shared" si="20"/>
        <v>138954.26601135961</v>
      </c>
      <c r="L124" s="39">
        <f t="shared" si="20"/>
        <v>599109.83050223393</v>
      </c>
      <c r="M124" s="39">
        <f t="shared" si="20"/>
        <v>738064.09651359264</v>
      </c>
    </row>
    <row r="125" spans="4:13" x14ac:dyDescent="0.45">
      <c r="D125">
        <f t="shared" si="16"/>
        <v>120</v>
      </c>
      <c r="E125" s="38">
        <f t="shared" ca="1" si="11"/>
        <v>49734</v>
      </c>
      <c r="F125" s="2">
        <f t="shared" si="12"/>
        <v>1604.9307947474556</v>
      </c>
      <c r="G125" s="3">
        <f t="shared" si="13"/>
        <v>4597.2885036861035</v>
      </c>
      <c r="H125" s="2">
        <f t="shared" si="14"/>
        <v>6202.2192984335588</v>
      </c>
      <c r="I125" s="3">
        <f t="shared" si="15"/>
        <v>815690.80319389259</v>
      </c>
      <c r="K125" s="39">
        <f t="shared" si="20"/>
        <v>140559.19680610707</v>
      </c>
      <c r="L125" s="39">
        <f t="shared" si="20"/>
        <v>603707.11900592002</v>
      </c>
      <c r="M125" s="39">
        <f t="shared" si="20"/>
        <v>744266.31581202615</v>
      </c>
    </row>
    <row r="126" spans="4:13" x14ac:dyDescent="0.45">
      <c r="D126">
        <f t="shared" si="16"/>
        <v>121</v>
      </c>
      <c r="E126" s="38">
        <f t="shared" ca="1" si="11"/>
        <v>49765</v>
      </c>
      <c r="F126" s="2">
        <f t="shared" si="12"/>
        <v>1613.9585304679104</v>
      </c>
      <c r="G126" s="3">
        <f t="shared" si="13"/>
        <v>4588.2607679656485</v>
      </c>
      <c r="H126" s="2">
        <f t="shared" si="14"/>
        <v>6202.2192984335588</v>
      </c>
      <c r="I126" s="3">
        <f t="shared" si="15"/>
        <v>814076.84466342465</v>
      </c>
      <c r="K126" s="39">
        <f t="shared" si="20"/>
        <v>142173.15533657497</v>
      </c>
      <c r="L126" s="39">
        <f t="shared" si="20"/>
        <v>608295.37977388571</v>
      </c>
      <c r="M126" s="39">
        <f t="shared" si="20"/>
        <v>750468.53511045966</v>
      </c>
    </row>
    <row r="127" spans="4:13" x14ac:dyDescent="0.45">
      <c r="D127">
        <f t="shared" si="16"/>
        <v>122</v>
      </c>
      <c r="E127" s="38">
        <f t="shared" ca="1" si="11"/>
        <v>49795</v>
      </c>
      <c r="F127" s="2">
        <f t="shared" si="12"/>
        <v>1623.0370472017921</v>
      </c>
      <c r="G127" s="3">
        <f t="shared" si="13"/>
        <v>4579.1822512317667</v>
      </c>
      <c r="H127" s="2">
        <f t="shared" si="14"/>
        <v>6202.2192984335588</v>
      </c>
      <c r="I127" s="3">
        <f t="shared" si="15"/>
        <v>812453.80761622288</v>
      </c>
      <c r="K127" s="39">
        <f t="shared" si="20"/>
        <v>143796.19238377677</v>
      </c>
      <c r="L127" s="39">
        <f t="shared" si="20"/>
        <v>612874.56202511746</v>
      </c>
      <c r="M127" s="39">
        <f t="shared" si="20"/>
        <v>756670.75440889318</v>
      </c>
    </row>
    <row r="128" spans="4:13" x14ac:dyDescent="0.45">
      <c r="D128">
        <f t="shared" si="16"/>
        <v>123</v>
      </c>
      <c r="E128" s="38">
        <f t="shared" ca="1" si="11"/>
        <v>49826</v>
      </c>
      <c r="F128" s="2">
        <f t="shared" si="12"/>
        <v>1632.166630592302</v>
      </c>
      <c r="G128" s="3">
        <f t="shared" si="13"/>
        <v>4570.0526678412571</v>
      </c>
      <c r="H128" s="2">
        <f t="shared" si="14"/>
        <v>6202.2192984335588</v>
      </c>
      <c r="I128" s="3">
        <f t="shared" si="15"/>
        <v>810821.64098563057</v>
      </c>
      <c r="K128" s="39">
        <f t="shared" si="20"/>
        <v>145428.35901436908</v>
      </c>
      <c r="L128" s="39">
        <f t="shared" si="20"/>
        <v>617444.61469295877</v>
      </c>
      <c r="M128" s="39">
        <f t="shared" si="20"/>
        <v>762872.97370732669</v>
      </c>
    </row>
    <row r="129" spans="4:13" x14ac:dyDescent="0.45">
      <c r="D129">
        <f t="shared" si="16"/>
        <v>124</v>
      </c>
      <c r="E129" s="38">
        <f t="shared" ca="1" si="11"/>
        <v>49856</v>
      </c>
      <c r="F129" s="2">
        <f t="shared" si="12"/>
        <v>1641.3475678893838</v>
      </c>
      <c r="G129" s="3">
        <f t="shared" si="13"/>
        <v>4560.8717305441751</v>
      </c>
      <c r="H129" s="2">
        <f t="shared" si="14"/>
        <v>6202.2192984335588</v>
      </c>
      <c r="I129" s="3">
        <f t="shared" si="15"/>
        <v>809180.2934177412</v>
      </c>
      <c r="K129" s="39">
        <f t="shared" si="20"/>
        <v>147069.70658225846</v>
      </c>
      <c r="L129" s="39">
        <f t="shared" si="20"/>
        <v>622005.48642350291</v>
      </c>
      <c r="M129" s="39">
        <f t="shared" si="20"/>
        <v>769075.1930057602</v>
      </c>
    </row>
    <row r="130" spans="4:13" x14ac:dyDescent="0.45">
      <c r="D130">
        <f t="shared" si="16"/>
        <v>125</v>
      </c>
      <c r="E130" s="38">
        <f t="shared" ca="1" si="11"/>
        <v>49887</v>
      </c>
      <c r="F130" s="2">
        <f t="shared" si="12"/>
        <v>1650.5801479587615</v>
      </c>
      <c r="G130" s="3">
        <f t="shared" si="13"/>
        <v>4551.6391504747971</v>
      </c>
      <c r="H130" s="2">
        <f t="shared" si="14"/>
        <v>6202.2192984335588</v>
      </c>
      <c r="I130" s="3">
        <f t="shared" si="15"/>
        <v>807529.71326978249</v>
      </c>
      <c r="K130" s="39">
        <f t="shared" si="20"/>
        <v>148720.28673021722</v>
      </c>
      <c r="L130" s="39">
        <f t="shared" si="20"/>
        <v>626557.12557397771</v>
      </c>
      <c r="M130" s="39">
        <f t="shared" si="20"/>
        <v>775277.41230419371</v>
      </c>
    </row>
    <row r="131" spans="4:13" x14ac:dyDescent="0.45">
      <c r="D131">
        <f t="shared" si="16"/>
        <v>126</v>
      </c>
      <c r="E131" s="38">
        <f t="shared" ca="1" si="11"/>
        <v>49918</v>
      </c>
      <c r="F131" s="2">
        <f t="shared" si="12"/>
        <v>1659.8646612910295</v>
      </c>
      <c r="G131" s="3">
        <f t="shared" si="13"/>
        <v>4542.3546371425291</v>
      </c>
      <c r="H131" s="2">
        <f t="shared" si="14"/>
        <v>6202.2192984335588</v>
      </c>
      <c r="I131" s="3">
        <f t="shared" si="15"/>
        <v>805869.84860849148</v>
      </c>
      <c r="K131" s="39">
        <f t="shared" si="20"/>
        <v>150380.15139150826</v>
      </c>
      <c r="L131" s="39">
        <f t="shared" si="20"/>
        <v>631099.48021112022</v>
      </c>
      <c r="M131" s="39">
        <f t="shared" si="20"/>
        <v>781479.63160262723</v>
      </c>
    </row>
    <row r="132" spans="4:13" x14ac:dyDescent="0.45">
      <c r="D132">
        <f t="shared" si="16"/>
        <v>127</v>
      </c>
      <c r="E132" s="38">
        <f t="shared" ca="1" si="11"/>
        <v>49948</v>
      </c>
      <c r="F132" s="2">
        <f t="shared" si="12"/>
        <v>1669.2014000107915</v>
      </c>
      <c r="G132" s="3">
        <f t="shared" si="13"/>
        <v>4533.0178984227678</v>
      </c>
      <c r="H132" s="2">
        <f t="shared" si="14"/>
        <v>6202.2192984335588</v>
      </c>
      <c r="I132" s="3">
        <f t="shared" si="15"/>
        <v>804200.64720848063</v>
      </c>
      <c r="K132" s="39">
        <f t="shared" si="20"/>
        <v>152049.35279151905</v>
      </c>
      <c r="L132" s="39">
        <f t="shared" si="20"/>
        <v>635632.498109543</v>
      </c>
      <c r="M132" s="39">
        <f t="shared" si="20"/>
        <v>787681.85090106074</v>
      </c>
    </row>
    <row r="133" spans="4:13" x14ac:dyDescent="0.45">
      <c r="D133">
        <f t="shared" si="16"/>
        <v>128</v>
      </c>
      <c r="E133" s="38">
        <f t="shared" ca="1" si="11"/>
        <v>49979</v>
      </c>
      <c r="F133" s="2">
        <f t="shared" si="12"/>
        <v>1678.5906578858519</v>
      </c>
      <c r="G133" s="3">
        <f t="shared" si="13"/>
        <v>4523.6286405477067</v>
      </c>
      <c r="H133" s="2">
        <f t="shared" si="14"/>
        <v>6202.2192984335588</v>
      </c>
      <c r="I133" s="3">
        <f t="shared" si="15"/>
        <v>802522.05655059475</v>
      </c>
      <c r="K133" s="39">
        <f t="shared" si="20"/>
        <v>153727.94344940491</v>
      </c>
      <c r="L133" s="39">
        <f t="shared" si="20"/>
        <v>640156.12675009074</v>
      </c>
      <c r="M133" s="39">
        <f t="shared" si="20"/>
        <v>793884.07019949425</v>
      </c>
    </row>
    <row r="134" spans="4:13" x14ac:dyDescent="0.45">
      <c r="D134">
        <f t="shared" si="16"/>
        <v>129</v>
      </c>
      <c r="E134" s="38">
        <f t="shared" ca="1" si="11"/>
        <v>50009</v>
      </c>
      <c r="F134" s="2">
        <f t="shared" si="12"/>
        <v>1688.0327303364604</v>
      </c>
      <c r="G134" s="3">
        <f t="shared" si="13"/>
        <v>4514.1865680970986</v>
      </c>
      <c r="H134" s="2">
        <f t="shared" si="14"/>
        <v>6202.2192984335588</v>
      </c>
      <c r="I134" s="3">
        <f t="shared" si="15"/>
        <v>800834.02382025833</v>
      </c>
      <c r="K134" s="39">
        <f t="shared" si="20"/>
        <v>155415.97617974135</v>
      </c>
      <c r="L134" s="39">
        <f t="shared" si="20"/>
        <v>644670.31331818784</v>
      </c>
      <c r="M134" s="39">
        <f t="shared" si="20"/>
        <v>800086.28949792776</v>
      </c>
    </row>
    <row r="135" spans="4:13" x14ac:dyDescent="0.45">
      <c r="D135">
        <f t="shared" si="16"/>
        <v>130</v>
      </c>
      <c r="E135" s="38">
        <f t="shared" ref="E135:E198" ca="1" si="21">EOMONTH(E134,1)</f>
        <v>50040</v>
      </c>
      <c r="F135" s="2">
        <f t="shared" ref="F135:F198" si="22">PPMT($B$4/12,D135,$B$5,-$B$3,0)</f>
        <v>1697.5279144446026</v>
      </c>
      <c r="G135" s="3">
        <f t="shared" ref="G135:G198" si="23">H135-F135</f>
        <v>4504.6913839889567</v>
      </c>
      <c r="H135" s="2">
        <f t="shared" ref="H135:H198" si="24">$B$6</f>
        <v>6202.2192984335588</v>
      </c>
      <c r="I135" s="3">
        <f t="shared" ref="I135:I198" si="25">I134-F135</f>
        <v>799136.49590581376</v>
      </c>
      <c r="K135" s="39">
        <f t="shared" si="20"/>
        <v>157113.50409418595</v>
      </c>
      <c r="L135" s="39">
        <f t="shared" si="20"/>
        <v>649175.00470217678</v>
      </c>
      <c r="M135" s="39">
        <f t="shared" si="20"/>
        <v>806288.50879636128</v>
      </c>
    </row>
    <row r="136" spans="4:13" x14ac:dyDescent="0.45">
      <c r="D136">
        <f t="shared" ref="D136:D199" si="26">D135+1</f>
        <v>131</v>
      </c>
      <c r="E136" s="38">
        <f t="shared" ca="1" si="21"/>
        <v>50071</v>
      </c>
      <c r="F136" s="2">
        <f t="shared" si="22"/>
        <v>1707.0765089633539</v>
      </c>
      <c r="G136" s="3">
        <f t="shared" si="23"/>
        <v>4495.1427894702047</v>
      </c>
      <c r="H136" s="2">
        <f t="shared" si="24"/>
        <v>6202.2192984335588</v>
      </c>
      <c r="I136" s="3">
        <f t="shared" si="25"/>
        <v>797429.4193968504</v>
      </c>
      <c r="K136" s="39">
        <f t="shared" ref="K136:M151" si="27">K135+F136</f>
        <v>158820.58060314931</v>
      </c>
      <c r="L136" s="39">
        <f t="shared" si="27"/>
        <v>653670.14749164693</v>
      </c>
      <c r="M136" s="39">
        <f t="shared" si="27"/>
        <v>812490.72809479479</v>
      </c>
    </row>
    <row r="137" spans="4:13" x14ac:dyDescent="0.45">
      <c r="D137">
        <f t="shared" si="26"/>
        <v>132</v>
      </c>
      <c r="E137" s="38">
        <f t="shared" ca="1" si="21"/>
        <v>50099</v>
      </c>
      <c r="F137" s="2">
        <f t="shared" si="22"/>
        <v>1716.6788143262727</v>
      </c>
      <c r="G137" s="3">
        <f t="shared" si="23"/>
        <v>4485.5404841072859</v>
      </c>
      <c r="H137" s="2">
        <f t="shared" si="24"/>
        <v>6202.2192984335588</v>
      </c>
      <c r="I137" s="3">
        <f t="shared" si="25"/>
        <v>795712.7405825241</v>
      </c>
      <c r="K137" s="39">
        <f t="shared" si="27"/>
        <v>160537.25941747558</v>
      </c>
      <c r="L137" s="39">
        <f t="shared" si="27"/>
        <v>658155.68797575426</v>
      </c>
      <c r="M137" s="39">
        <f t="shared" si="27"/>
        <v>818692.9473932283</v>
      </c>
    </row>
    <row r="138" spans="4:13" x14ac:dyDescent="0.45">
      <c r="D138">
        <f t="shared" si="26"/>
        <v>133</v>
      </c>
      <c r="E138" s="38">
        <f t="shared" ca="1" si="21"/>
        <v>50130</v>
      </c>
      <c r="F138" s="2">
        <f t="shared" si="22"/>
        <v>1726.3351326568579</v>
      </c>
      <c r="G138" s="3">
        <f t="shared" si="23"/>
        <v>4475.8841657767007</v>
      </c>
      <c r="H138" s="2">
        <f t="shared" si="24"/>
        <v>6202.2192984335588</v>
      </c>
      <c r="I138" s="3">
        <f t="shared" si="25"/>
        <v>793986.40544986725</v>
      </c>
      <c r="K138" s="39">
        <f t="shared" si="27"/>
        <v>162263.59455013243</v>
      </c>
      <c r="L138" s="39">
        <f t="shared" si="27"/>
        <v>662631.57214153092</v>
      </c>
      <c r="M138" s="39">
        <f t="shared" si="27"/>
        <v>824895.16669166181</v>
      </c>
    </row>
    <row r="139" spans="4:13" x14ac:dyDescent="0.45">
      <c r="D139">
        <f t="shared" si="26"/>
        <v>134</v>
      </c>
      <c r="E139" s="38">
        <f t="shared" ca="1" si="21"/>
        <v>50160</v>
      </c>
      <c r="F139" s="2">
        <f t="shared" si="22"/>
        <v>1736.0457677780528</v>
      </c>
      <c r="G139" s="3">
        <f t="shared" si="23"/>
        <v>4466.1735306555056</v>
      </c>
      <c r="H139" s="2">
        <f t="shared" si="24"/>
        <v>6202.2192984335588</v>
      </c>
      <c r="I139" s="3">
        <f t="shared" si="25"/>
        <v>792250.35968208918</v>
      </c>
      <c r="K139" s="39">
        <f t="shared" si="27"/>
        <v>163999.6403179105</v>
      </c>
      <c r="L139" s="39">
        <f t="shared" si="27"/>
        <v>667097.74567218637</v>
      </c>
      <c r="M139" s="39">
        <f t="shared" si="27"/>
        <v>831097.38599009532</v>
      </c>
    </row>
    <row r="140" spans="4:13" x14ac:dyDescent="0.45">
      <c r="D140">
        <f t="shared" si="26"/>
        <v>135</v>
      </c>
      <c r="E140" s="38">
        <f t="shared" ca="1" si="21"/>
        <v>50191</v>
      </c>
      <c r="F140" s="2">
        <f t="shared" si="22"/>
        <v>1745.8110252218044</v>
      </c>
      <c r="G140" s="3">
        <f t="shared" si="23"/>
        <v>4456.4082732117549</v>
      </c>
      <c r="H140" s="2">
        <f t="shared" si="24"/>
        <v>6202.2192984335588</v>
      </c>
      <c r="I140" s="3">
        <f t="shared" si="25"/>
        <v>790504.54865686735</v>
      </c>
      <c r="K140" s="39">
        <f t="shared" si="27"/>
        <v>165745.4513431323</v>
      </c>
      <c r="L140" s="39">
        <f t="shared" si="27"/>
        <v>671554.15394539817</v>
      </c>
      <c r="M140" s="39">
        <f t="shared" si="27"/>
        <v>837299.60528852884</v>
      </c>
    </row>
    <row r="141" spans="4:13" x14ac:dyDescent="0.45">
      <c r="D141">
        <f t="shared" si="26"/>
        <v>136</v>
      </c>
      <c r="E141" s="38">
        <f t="shared" ca="1" si="21"/>
        <v>50221</v>
      </c>
      <c r="F141" s="2">
        <f t="shared" si="22"/>
        <v>1755.6312122386769</v>
      </c>
      <c r="G141" s="3">
        <f t="shared" si="23"/>
        <v>4446.5880861948817</v>
      </c>
      <c r="H141" s="2">
        <f t="shared" si="24"/>
        <v>6202.2192984335588</v>
      </c>
      <c r="I141" s="3">
        <f t="shared" si="25"/>
        <v>788748.91744462866</v>
      </c>
      <c r="K141" s="39">
        <f t="shared" si="27"/>
        <v>167501.08255537099</v>
      </c>
      <c r="L141" s="39">
        <f t="shared" si="27"/>
        <v>676000.74203159299</v>
      </c>
      <c r="M141" s="39">
        <f t="shared" si="27"/>
        <v>843501.82458696235</v>
      </c>
    </row>
    <row r="142" spans="4:13" x14ac:dyDescent="0.45">
      <c r="D142">
        <f t="shared" si="26"/>
        <v>137</v>
      </c>
      <c r="E142" s="38">
        <f t="shared" ca="1" si="21"/>
        <v>50252</v>
      </c>
      <c r="F142" s="2">
        <f t="shared" si="22"/>
        <v>1765.5066378075192</v>
      </c>
      <c r="G142" s="3">
        <f t="shared" si="23"/>
        <v>4436.7126606260399</v>
      </c>
      <c r="H142" s="2">
        <f t="shared" si="24"/>
        <v>6202.2192984335588</v>
      </c>
      <c r="I142" s="3">
        <f t="shared" si="25"/>
        <v>786983.41080682119</v>
      </c>
      <c r="K142" s="39">
        <f t="shared" si="27"/>
        <v>169266.58919317852</v>
      </c>
      <c r="L142" s="39">
        <f t="shared" si="27"/>
        <v>680437.45469221903</v>
      </c>
      <c r="M142" s="39">
        <f t="shared" si="27"/>
        <v>849704.04388539586</v>
      </c>
    </row>
    <row r="143" spans="4:13" x14ac:dyDescent="0.45">
      <c r="D143">
        <f t="shared" si="26"/>
        <v>138</v>
      </c>
      <c r="E143" s="38">
        <f t="shared" ca="1" si="21"/>
        <v>50283</v>
      </c>
      <c r="F143" s="2">
        <f t="shared" si="22"/>
        <v>1775.4376126451868</v>
      </c>
      <c r="G143" s="3">
        <f t="shared" si="23"/>
        <v>4426.7816857883718</v>
      </c>
      <c r="H143" s="2">
        <f t="shared" si="24"/>
        <v>6202.2192984335588</v>
      </c>
      <c r="I143" s="3">
        <f t="shared" si="25"/>
        <v>785207.97319417598</v>
      </c>
      <c r="K143" s="39">
        <f t="shared" si="27"/>
        <v>171042.0268058237</v>
      </c>
      <c r="L143" s="39">
        <f t="shared" si="27"/>
        <v>684864.23637800745</v>
      </c>
      <c r="M143" s="39">
        <f t="shared" si="27"/>
        <v>855906.26318382937</v>
      </c>
    </row>
    <row r="144" spans="4:13" x14ac:dyDescent="0.45">
      <c r="D144">
        <f t="shared" si="26"/>
        <v>139</v>
      </c>
      <c r="E144" s="38">
        <f t="shared" ca="1" si="21"/>
        <v>50313</v>
      </c>
      <c r="F144" s="2">
        <f t="shared" si="22"/>
        <v>1785.4244492163155</v>
      </c>
      <c r="G144" s="3">
        <f t="shared" si="23"/>
        <v>4416.7948492172436</v>
      </c>
      <c r="H144" s="2">
        <f t="shared" si="24"/>
        <v>6202.2192984335588</v>
      </c>
      <c r="I144" s="3">
        <f t="shared" si="25"/>
        <v>783422.54874495964</v>
      </c>
      <c r="K144" s="39">
        <f t="shared" si="27"/>
        <v>172827.45125504001</v>
      </c>
      <c r="L144" s="39">
        <f t="shared" si="27"/>
        <v>689281.03122722474</v>
      </c>
      <c r="M144" s="39">
        <f t="shared" si="27"/>
        <v>862108.48248226289</v>
      </c>
    </row>
    <row r="145" spans="4:13" x14ac:dyDescent="0.45">
      <c r="D145">
        <f t="shared" si="26"/>
        <v>140</v>
      </c>
      <c r="E145" s="38">
        <f t="shared" ca="1" si="21"/>
        <v>50344</v>
      </c>
      <c r="F145" s="2">
        <f t="shared" si="22"/>
        <v>1795.4674617431574</v>
      </c>
      <c r="G145" s="3">
        <f t="shared" si="23"/>
        <v>4406.7518366904014</v>
      </c>
      <c r="H145" s="2">
        <f t="shared" si="24"/>
        <v>6202.2192984335588</v>
      </c>
      <c r="I145" s="3">
        <f t="shared" si="25"/>
        <v>781627.08128321648</v>
      </c>
      <c r="K145" s="39">
        <f t="shared" si="27"/>
        <v>174622.91871678317</v>
      </c>
      <c r="L145" s="39">
        <f t="shared" si="27"/>
        <v>693687.78306391509</v>
      </c>
      <c r="M145" s="39">
        <f t="shared" si="27"/>
        <v>868310.7017806964</v>
      </c>
    </row>
    <row r="146" spans="4:13" x14ac:dyDescent="0.45">
      <c r="D146">
        <f t="shared" si="26"/>
        <v>141</v>
      </c>
      <c r="E146" s="38">
        <f t="shared" ca="1" si="21"/>
        <v>50374</v>
      </c>
      <c r="F146" s="2">
        <f t="shared" si="22"/>
        <v>1805.566966215463</v>
      </c>
      <c r="G146" s="3">
        <f t="shared" si="23"/>
        <v>4396.6523322180956</v>
      </c>
      <c r="H146" s="2">
        <f t="shared" si="24"/>
        <v>6202.2192984335588</v>
      </c>
      <c r="I146" s="3">
        <f t="shared" si="25"/>
        <v>779821.51431700098</v>
      </c>
      <c r="K146" s="39">
        <f t="shared" si="27"/>
        <v>176428.48568299864</v>
      </c>
      <c r="L146" s="39">
        <f t="shared" si="27"/>
        <v>698084.43539613322</v>
      </c>
      <c r="M146" s="39">
        <f t="shared" si="27"/>
        <v>874512.92107912991</v>
      </c>
    </row>
    <row r="147" spans="4:13" x14ac:dyDescent="0.45">
      <c r="D147">
        <f t="shared" si="26"/>
        <v>142</v>
      </c>
      <c r="E147" s="38">
        <f t="shared" ca="1" si="21"/>
        <v>50405</v>
      </c>
      <c r="F147" s="2">
        <f t="shared" si="22"/>
        <v>1815.723280400425</v>
      </c>
      <c r="G147" s="3">
        <f t="shared" si="23"/>
        <v>4386.4960180331336</v>
      </c>
      <c r="H147" s="2">
        <f t="shared" si="24"/>
        <v>6202.2192984335588</v>
      </c>
      <c r="I147" s="3">
        <f t="shared" si="25"/>
        <v>778005.7910366006</v>
      </c>
      <c r="K147" s="39">
        <f t="shared" si="27"/>
        <v>178244.20896339905</v>
      </c>
      <c r="L147" s="39">
        <f t="shared" si="27"/>
        <v>702470.93141416635</v>
      </c>
      <c r="M147" s="39">
        <f t="shared" si="27"/>
        <v>880715.14037756342</v>
      </c>
    </row>
    <row r="148" spans="4:13" x14ac:dyDescent="0.45">
      <c r="D148">
        <f t="shared" si="26"/>
        <v>143</v>
      </c>
      <c r="E148" s="38">
        <f t="shared" ca="1" si="21"/>
        <v>50436</v>
      </c>
      <c r="F148" s="2">
        <f t="shared" si="22"/>
        <v>1825.9367238526775</v>
      </c>
      <c r="G148" s="3">
        <f t="shared" si="23"/>
        <v>4376.2825745808814</v>
      </c>
      <c r="H148" s="2">
        <f t="shared" si="24"/>
        <v>6202.2192984335588</v>
      </c>
      <c r="I148" s="3">
        <f t="shared" si="25"/>
        <v>776179.85431274795</v>
      </c>
      <c r="K148" s="39">
        <f t="shared" si="27"/>
        <v>180070.14568725173</v>
      </c>
      <c r="L148" s="39">
        <f t="shared" si="27"/>
        <v>706847.21398874721</v>
      </c>
      <c r="M148" s="39">
        <f t="shared" si="27"/>
        <v>886917.35967599694</v>
      </c>
    </row>
    <row r="149" spans="4:13" x14ac:dyDescent="0.45">
      <c r="D149">
        <f t="shared" si="26"/>
        <v>144</v>
      </c>
      <c r="E149" s="38">
        <f t="shared" ca="1" si="21"/>
        <v>50464</v>
      </c>
      <c r="F149" s="2">
        <f t="shared" si="22"/>
        <v>1836.2076179243486</v>
      </c>
      <c r="G149" s="3">
        <f t="shared" si="23"/>
        <v>4366.0116805092102</v>
      </c>
      <c r="H149" s="2">
        <f t="shared" si="24"/>
        <v>6202.2192984335588</v>
      </c>
      <c r="I149" s="3">
        <f t="shared" si="25"/>
        <v>774343.64669482363</v>
      </c>
      <c r="K149" s="39">
        <f t="shared" si="27"/>
        <v>181906.35330517608</v>
      </c>
      <c r="L149" s="39">
        <f t="shared" si="27"/>
        <v>711213.22566925641</v>
      </c>
      <c r="M149" s="39">
        <f t="shared" si="27"/>
        <v>893119.57897443045</v>
      </c>
    </row>
    <row r="150" spans="4:13" x14ac:dyDescent="0.45">
      <c r="D150">
        <f t="shared" si="26"/>
        <v>145</v>
      </c>
      <c r="E150" s="38">
        <f t="shared" ca="1" si="21"/>
        <v>50495</v>
      </c>
      <c r="F150" s="2">
        <f t="shared" si="22"/>
        <v>1846.5362857751732</v>
      </c>
      <c r="G150" s="3">
        <f t="shared" si="23"/>
        <v>4355.6830126583855</v>
      </c>
      <c r="H150" s="2">
        <f t="shared" si="24"/>
        <v>6202.2192984335588</v>
      </c>
      <c r="I150" s="3">
        <f t="shared" si="25"/>
        <v>772497.1104090485</v>
      </c>
      <c r="K150" s="39">
        <f t="shared" si="27"/>
        <v>183752.88959095124</v>
      </c>
      <c r="L150" s="39">
        <f t="shared" si="27"/>
        <v>715568.90868191479</v>
      </c>
      <c r="M150" s="39">
        <f t="shared" si="27"/>
        <v>899321.79827286396</v>
      </c>
    </row>
    <row r="151" spans="4:13" x14ac:dyDescent="0.45">
      <c r="D151">
        <f t="shared" si="26"/>
        <v>146</v>
      </c>
      <c r="E151" s="38">
        <f t="shared" ca="1" si="21"/>
        <v>50525</v>
      </c>
      <c r="F151" s="2">
        <f t="shared" si="22"/>
        <v>1856.9230523826582</v>
      </c>
      <c r="G151" s="3">
        <f t="shared" si="23"/>
        <v>4345.2962460509007</v>
      </c>
      <c r="H151" s="2">
        <f t="shared" si="24"/>
        <v>6202.2192984335588</v>
      </c>
      <c r="I151" s="3">
        <f t="shared" si="25"/>
        <v>770640.18735666585</v>
      </c>
      <c r="K151" s="39">
        <f t="shared" si="27"/>
        <v>185609.81264333389</v>
      </c>
      <c r="L151" s="39">
        <f t="shared" si="27"/>
        <v>719914.20492796565</v>
      </c>
      <c r="M151" s="39">
        <f t="shared" si="27"/>
        <v>905524.01757129747</v>
      </c>
    </row>
    <row r="152" spans="4:13" x14ac:dyDescent="0.45">
      <c r="D152">
        <f t="shared" si="26"/>
        <v>147</v>
      </c>
      <c r="E152" s="38">
        <f t="shared" ca="1" si="21"/>
        <v>50556</v>
      </c>
      <c r="F152" s="2">
        <f t="shared" si="22"/>
        <v>1867.3682445523111</v>
      </c>
      <c r="G152" s="3">
        <f t="shared" si="23"/>
        <v>4334.8510538812479</v>
      </c>
      <c r="H152" s="2">
        <f t="shared" si="24"/>
        <v>6202.2192984335588</v>
      </c>
      <c r="I152" s="3">
        <f t="shared" si="25"/>
        <v>768772.81911211356</v>
      </c>
      <c r="K152" s="39">
        <f t="shared" ref="K152:M167" si="28">K151+F152</f>
        <v>187477.18088788621</v>
      </c>
      <c r="L152" s="39">
        <f t="shared" si="28"/>
        <v>724249.05598184688</v>
      </c>
      <c r="M152" s="39">
        <f t="shared" si="28"/>
        <v>911726.23686973099</v>
      </c>
    </row>
    <row r="153" spans="4:13" x14ac:dyDescent="0.45">
      <c r="D153">
        <f t="shared" si="26"/>
        <v>148</v>
      </c>
      <c r="E153" s="38">
        <f t="shared" ca="1" si="21"/>
        <v>50586</v>
      </c>
      <c r="F153" s="2">
        <f t="shared" si="22"/>
        <v>1877.8721909279177</v>
      </c>
      <c r="G153" s="3">
        <f t="shared" si="23"/>
        <v>4324.3471075056414</v>
      </c>
      <c r="H153" s="2">
        <f t="shared" si="24"/>
        <v>6202.2192984335588</v>
      </c>
      <c r="I153" s="3">
        <f t="shared" si="25"/>
        <v>766894.94692118559</v>
      </c>
      <c r="K153" s="39">
        <f t="shared" si="28"/>
        <v>189355.05307881412</v>
      </c>
      <c r="L153" s="39">
        <f t="shared" si="28"/>
        <v>728573.40308935253</v>
      </c>
      <c r="M153" s="39">
        <f t="shared" si="28"/>
        <v>917928.4561681645</v>
      </c>
    </row>
    <row r="154" spans="4:13" x14ac:dyDescent="0.45">
      <c r="D154">
        <f t="shared" si="26"/>
        <v>149</v>
      </c>
      <c r="E154" s="38">
        <f t="shared" ca="1" si="21"/>
        <v>50617</v>
      </c>
      <c r="F154" s="2">
        <f t="shared" si="22"/>
        <v>1888.4352220018868</v>
      </c>
      <c r="G154" s="3">
        <f t="shared" si="23"/>
        <v>4313.7840764316716</v>
      </c>
      <c r="H154" s="2">
        <f t="shared" si="24"/>
        <v>6202.2192984335588</v>
      </c>
      <c r="I154" s="3">
        <f t="shared" si="25"/>
        <v>765006.51169918373</v>
      </c>
      <c r="K154" s="39">
        <f t="shared" si="28"/>
        <v>191243.48830081601</v>
      </c>
      <c r="L154" s="39">
        <f t="shared" si="28"/>
        <v>732887.18716578418</v>
      </c>
      <c r="M154" s="39">
        <f t="shared" si="28"/>
        <v>924130.67546659801</v>
      </c>
    </row>
    <row r="155" spans="4:13" x14ac:dyDescent="0.45">
      <c r="D155">
        <f t="shared" si="26"/>
        <v>150</v>
      </c>
      <c r="E155" s="38">
        <f t="shared" ca="1" si="21"/>
        <v>50648</v>
      </c>
      <c r="F155" s="2">
        <f t="shared" si="22"/>
        <v>1899.0576701256477</v>
      </c>
      <c r="G155" s="3">
        <f t="shared" si="23"/>
        <v>4303.1616283079111</v>
      </c>
      <c r="H155" s="2">
        <f t="shared" si="24"/>
        <v>6202.2192984335588</v>
      </c>
      <c r="I155" s="3">
        <f t="shared" si="25"/>
        <v>763107.45402905811</v>
      </c>
      <c r="K155" s="39">
        <f t="shared" si="28"/>
        <v>193142.54597094166</v>
      </c>
      <c r="L155" s="39">
        <f t="shared" si="28"/>
        <v>737190.34879409207</v>
      </c>
      <c r="M155" s="39">
        <f t="shared" si="28"/>
        <v>930332.89476503152</v>
      </c>
    </row>
    <row r="156" spans="4:13" x14ac:dyDescent="0.45">
      <c r="D156">
        <f t="shared" si="26"/>
        <v>151</v>
      </c>
      <c r="E156" s="38">
        <f t="shared" ca="1" si="21"/>
        <v>50678</v>
      </c>
      <c r="F156" s="2">
        <f t="shared" si="22"/>
        <v>1909.7398695201043</v>
      </c>
      <c r="G156" s="3">
        <f t="shared" si="23"/>
        <v>4292.4794289134543</v>
      </c>
      <c r="H156" s="2">
        <f t="shared" si="24"/>
        <v>6202.2192984335588</v>
      </c>
      <c r="I156" s="3">
        <f t="shared" si="25"/>
        <v>761197.71415953804</v>
      </c>
      <c r="K156" s="39">
        <f t="shared" si="28"/>
        <v>195052.28584046176</v>
      </c>
      <c r="L156" s="39">
        <f t="shared" si="28"/>
        <v>741482.82822300552</v>
      </c>
      <c r="M156" s="39">
        <f t="shared" si="28"/>
        <v>936535.11406346504</v>
      </c>
    </row>
    <row r="157" spans="4:13" x14ac:dyDescent="0.45">
      <c r="D157">
        <f t="shared" si="26"/>
        <v>152</v>
      </c>
      <c r="E157" s="38">
        <f t="shared" ca="1" si="21"/>
        <v>50709</v>
      </c>
      <c r="F157" s="2">
        <f t="shared" si="22"/>
        <v>1920.4821562861553</v>
      </c>
      <c r="G157" s="3">
        <f t="shared" si="23"/>
        <v>4281.7371421474036</v>
      </c>
      <c r="H157" s="2">
        <f t="shared" si="24"/>
        <v>6202.2192984335588</v>
      </c>
      <c r="I157" s="3">
        <f t="shared" si="25"/>
        <v>759277.23200325191</v>
      </c>
      <c r="K157" s="39">
        <f t="shared" si="28"/>
        <v>196972.76799674792</v>
      </c>
      <c r="L157" s="39">
        <f t="shared" si="28"/>
        <v>745764.5653651529</v>
      </c>
      <c r="M157" s="39">
        <f t="shared" si="28"/>
        <v>942737.33336189855</v>
      </c>
    </row>
    <row r="158" spans="4:13" x14ac:dyDescent="0.45">
      <c r="D158">
        <f t="shared" si="26"/>
        <v>153</v>
      </c>
      <c r="E158" s="38">
        <f t="shared" ca="1" si="21"/>
        <v>50739</v>
      </c>
      <c r="F158" s="2">
        <f t="shared" si="22"/>
        <v>1931.2848684152652</v>
      </c>
      <c r="G158" s="3">
        <f t="shared" si="23"/>
        <v>4270.9344300182938</v>
      </c>
      <c r="H158" s="2">
        <f t="shared" si="24"/>
        <v>6202.2192984335588</v>
      </c>
      <c r="I158" s="3">
        <f t="shared" si="25"/>
        <v>757345.94713483669</v>
      </c>
      <c r="K158" s="39">
        <f t="shared" si="28"/>
        <v>198904.05286516319</v>
      </c>
      <c r="L158" s="39">
        <f t="shared" si="28"/>
        <v>750035.4997951712</v>
      </c>
      <c r="M158" s="39">
        <f t="shared" si="28"/>
        <v>948939.55266033206</v>
      </c>
    </row>
    <row r="159" spans="4:13" x14ac:dyDescent="0.45">
      <c r="D159">
        <f t="shared" si="26"/>
        <v>154</v>
      </c>
      <c r="E159" s="38">
        <f t="shared" ca="1" si="21"/>
        <v>50770</v>
      </c>
      <c r="F159" s="2">
        <f t="shared" si="22"/>
        <v>1942.1483458001007</v>
      </c>
      <c r="G159" s="3">
        <f t="shared" si="23"/>
        <v>4260.0709526334576</v>
      </c>
      <c r="H159" s="2">
        <f t="shared" si="24"/>
        <v>6202.2192984335588</v>
      </c>
      <c r="I159" s="3">
        <f t="shared" si="25"/>
        <v>755403.79878903658</v>
      </c>
      <c r="K159" s="39">
        <f t="shared" si="28"/>
        <v>200846.20121096328</v>
      </c>
      <c r="L159" s="39">
        <f t="shared" si="28"/>
        <v>754295.57074780471</v>
      </c>
      <c r="M159" s="39">
        <f t="shared" si="28"/>
        <v>955141.77195876557</v>
      </c>
    </row>
    <row r="160" spans="4:13" x14ac:dyDescent="0.45">
      <c r="D160">
        <f t="shared" si="26"/>
        <v>155</v>
      </c>
      <c r="E160" s="38">
        <f t="shared" ca="1" si="21"/>
        <v>50801</v>
      </c>
      <c r="F160" s="2">
        <f t="shared" si="22"/>
        <v>1953.0729302452264</v>
      </c>
      <c r="G160" s="3">
        <f t="shared" si="23"/>
        <v>4249.1463681883324</v>
      </c>
      <c r="H160" s="2">
        <f t="shared" si="24"/>
        <v>6202.2192984335588</v>
      </c>
      <c r="I160" s="3">
        <f t="shared" si="25"/>
        <v>753450.72585879138</v>
      </c>
      <c r="K160" s="39">
        <f t="shared" si="28"/>
        <v>202799.2741412085</v>
      </c>
      <c r="L160" s="39">
        <f t="shared" si="28"/>
        <v>758544.71711599303</v>
      </c>
      <c r="M160" s="39">
        <f t="shared" si="28"/>
        <v>961343.99125719909</v>
      </c>
    </row>
    <row r="161" spans="4:13" x14ac:dyDescent="0.45">
      <c r="D161">
        <f t="shared" si="26"/>
        <v>156</v>
      </c>
      <c r="E161" s="38">
        <f t="shared" ca="1" si="21"/>
        <v>50829</v>
      </c>
      <c r="F161" s="2">
        <f t="shared" si="22"/>
        <v>1964.0589654778555</v>
      </c>
      <c r="G161" s="3">
        <f t="shared" si="23"/>
        <v>4238.1603329557038</v>
      </c>
      <c r="H161" s="2">
        <f t="shared" si="24"/>
        <v>6202.2192984335588</v>
      </c>
      <c r="I161" s="3">
        <f t="shared" si="25"/>
        <v>751486.66689331352</v>
      </c>
      <c r="K161" s="39">
        <f t="shared" si="28"/>
        <v>204763.33310668636</v>
      </c>
      <c r="L161" s="39">
        <f t="shared" si="28"/>
        <v>762782.87744894868</v>
      </c>
      <c r="M161" s="39">
        <f t="shared" si="28"/>
        <v>967546.2105556326</v>
      </c>
    </row>
    <row r="162" spans="4:13" x14ac:dyDescent="0.45">
      <c r="D162">
        <f t="shared" si="26"/>
        <v>157</v>
      </c>
      <c r="E162" s="38">
        <f t="shared" ca="1" si="21"/>
        <v>50860</v>
      </c>
      <c r="F162" s="2">
        <f t="shared" si="22"/>
        <v>1975.1067971586685</v>
      </c>
      <c r="G162" s="3">
        <f t="shared" si="23"/>
        <v>4227.1125012748907</v>
      </c>
      <c r="H162" s="2">
        <f t="shared" si="24"/>
        <v>6202.2192984335588</v>
      </c>
      <c r="I162" s="3">
        <f t="shared" si="25"/>
        <v>749511.5600961548</v>
      </c>
      <c r="K162" s="39">
        <f t="shared" si="28"/>
        <v>206738.43990384502</v>
      </c>
      <c r="L162" s="39">
        <f t="shared" si="28"/>
        <v>767009.98995022359</v>
      </c>
      <c r="M162" s="39">
        <f t="shared" si="28"/>
        <v>973748.42985406611</v>
      </c>
    </row>
    <row r="163" spans="4:13" x14ac:dyDescent="0.45">
      <c r="D163">
        <f t="shared" si="26"/>
        <v>158</v>
      </c>
      <c r="E163" s="38">
        <f t="shared" ca="1" si="21"/>
        <v>50890</v>
      </c>
      <c r="F163" s="2">
        <f t="shared" si="22"/>
        <v>1986.2167728926861</v>
      </c>
      <c r="G163" s="3">
        <f t="shared" si="23"/>
        <v>4216.0025255408727</v>
      </c>
      <c r="H163" s="2">
        <f t="shared" si="24"/>
        <v>6202.2192984335588</v>
      </c>
      <c r="I163" s="3">
        <f t="shared" si="25"/>
        <v>747525.34332326218</v>
      </c>
      <c r="K163" s="39">
        <f t="shared" si="28"/>
        <v>208724.65667673771</v>
      </c>
      <c r="L163" s="39">
        <f t="shared" si="28"/>
        <v>771225.99247576448</v>
      </c>
      <c r="M163" s="39">
        <f t="shared" si="28"/>
        <v>979950.64915249962</v>
      </c>
    </row>
    <row r="164" spans="4:13" x14ac:dyDescent="0.45">
      <c r="D164">
        <f t="shared" si="26"/>
        <v>159</v>
      </c>
      <c r="E164" s="38">
        <f t="shared" ca="1" si="21"/>
        <v>50921</v>
      </c>
      <c r="F164" s="2">
        <f t="shared" si="22"/>
        <v>1997.3892422402073</v>
      </c>
      <c r="G164" s="3">
        <f t="shared" si="23"/>
        <v>4204.830056193352</v>
      </c>
      <c r="H164" s="2">
        <f t="shared" si="24"/>
        <v>6202.2192984335588</v>
      </c>
      <c r="I164" s="3">
        <f t="shared" si="25"/>
        <v>745527.95408102195</v>
      </c>
      <c r="K164" s="39">
        <f t="shared" si="28"/>
        <v>210722.04591897791</v>
      </c>
      <c r="L164" s="39">
        <f t="shared" si="28"/>
        <v>775430.82253195788</v>
      </c>
      <c r="M164" s="39">
        <f t="shared" si="28"/>
        <v>986152.86845093314</v>
      </c>
    </row>
    <row r="165" spans="4:13" x14ac:dyDescent="0.45">
      <c r="D165">
        <f t="shared" si="26"/>
        <v>160</v>
      </c>
      <c r="E165" s="38">
        <f t="shared" ca="1" si="21"/>
        <v>50951</v>
      </c>
      <c r="F165" s="2">
        <f t="shared" si="22"/>
        <v>2008.6245567278083</v>
      </c>
      <c r="G165" s="3">
        <f t="shared" si="23"/>
        <v>4193.5947417057505</v>
      </c>
      <c r="H165" s="2">
        <f t="shared" si="24"/>
        <v>6202.2192984335588</v>
      </c>
      <c r="I165" s="3">
        <f t="shared" si="25"/>
        <v>743519.32952429412</v>
      </c>
      <c r="K165" s="39">
        <f t="shared" si="28"/>
        <v>212730.6704757057</v>
      </c>
      <c r="L165" s="39">
        <f t="shared" si="28"/>
        <v>779624.41727366368</v>
      </c>
      <c r="M165" s="39">
        <f t="shared" si="28"/>
        <v>992355.08774936665</v>
      </c>
    </row>
    <row r="166" spans="4:13" x14ac:dyDescent="0.45">
      <c r="D166">
        <f t="shared" si="26"/>
        <v>161</v>
      </c>
      <c r="E166" s="38">
        <f t="shared" ca="1" si="21"/>
        <v>50982</v>
      </c>
      <c r="F166" s="2">
        <f t="shared" si="22"/>
        <v>2019.9230698594024</v>
      </c>
      <c r="G166" s="3">
        <f t="shared" si="23"/>
        <v>4182.296228574156</v>
      </c>
      <c r="H166" s="2">
        <f t="shared" si="24"/>
        <v>6202.2192984335588</v>
      </c>
      <c r="I166" s="3">
        <f t="shared" si="25"/>
        <v>741499.40645443473</v>
      </c>
      <c r="K166" s="39">
        <f t="shared" si="28"/>
        <v>214750.59354556509</v>
      </c>
      <c r="L166" s="39">
        <f t="shared" si="28"/>
        <v>783806.71350223781</v>
      </c>
      <c r="M166" s="39">
        <f t="shared" si="28"/>
        <v>998557.30704780016</v>
      </c>
    </row>
    <row r="167" spans="4:13" x14ac:dyDescent="0.45">
      <c r="D167">
        <f t="shared" si="26"/>
        <v>162</v>
      </c>
      <c r="E167" s="38">
        <f t="shared" ca="1" si="21"/>
        <v>51013</v>
      </c>
      <c r="F167" s="2">
        <f t="shared" si="22"/>
        <v>2031.2851371273621</v>
      </c>
      <c r="G167" s="3">
        <f t="shared" si="23"/>
        <v>4170.934161306197</v>
      </c>
      <c r="H167" s="2">
        <f t="shared" si="24"/>
        <v>6202.2192984335588</v>
      </c>
      <c r="I167" s="3">
        <f t="shared" si="25"/>
        <v>739468.12131730735</v>
      </c>
      <c r="K167" s="39">
        <f t="shared" si="28"/>
        <v>216781.87868269245</v>
      </c>
      <c r="L167" s="39">
        <f t="shared" si="28"/>
        <v>787977.64766354405</v>
      </c>
      <c r="M167" s="39">
        <f t="shared" si="28"/>
        <v>1004759.5263462337</v>
      </c>
    </row>
    <row r="168" spans="4:13" x14ac:dyDescent="0.45">
      <c r="D168">
        <f t="shared" si="26"/>
        <v>163</v>
      </c>
      <c r="E168" s="38">
        <f t="shared" ca="1" si="21"/>
        <v>51043</v>
      </c>
      <c r="F168" s="2">
        <f t="shared" si="22"/>
        <v>2042.7111160237032</v>
      </c>
      <c r="G168" s="3">
        <f t="shared" si="23"/>
        <v>4159.5081824098561</v>
      </c>
      <c r="H168" s="2">
        <f t="shared" si="24"/>
        <v>6202.2192984335588</v>
      </c>
      <c r="I168" s="3">
        <f t="shared" si="25"/>
        <v>737425.41020128364</v>
      </c>
      <c r="K168" s="39">
        <f t="shared" ref="K168:M183" si="29">K167+F168</f>
        <v>218824.58979871616</v>
      </c>
      <c r="L168" s="39">
        <f t="shared" si="29"/>
        <v>792137.15584595385</v>
      </c>
      <c r="M168" s="39">
        <f t="shared" si="29"/>
        <v>1010961.7456446672</v>
      </c>
    </row>
    <row r="169" spans="4:13" x14ac:dyDescent="0.45">
      <c r="D169">
        <f t="shared" si="26"/>
        <v>164</v>
      </c>
      <c r="E169" s="38">
        <f t="shared" ca="1" si="21"/>
        <v>51074</v>
      </c>
      <c r="F169" s="2">
        <f t="shared" si="22"/>
        <v>2054.2013660513362</v>
      </c>
      <c r="G169" s="3">
        <f t="shared" si="23"/>
        <v>4148.0179323822231</v>
      </c>
      <c r="H169" s="2">
        <f t="shared" si="24"/>
        <v>6202.2192984335588</v>
      </c>
      <c r="I169" s="3">
        <f t="shared" si="25"/>
        <v>735371.2088352323</v>
      </c>
      <c r="K169" s="39">
        <f t="shared" si="29"/>
        <v>220878.79116476749</v>
      </c>
      <c r="L169" s="39">
        <f t="shared" si="29"/>
        <v>796285.17377833603</v>
      </c>
      <c r="M169" s="39">
        <f t="shared" si="29"/>
        <v>1017163.9649431007</v>
      </c>
    </row>
    <row r="170" spans="4:13" x14ac:dyDescent="0.45">
      <c r="D170">
        <f t="shared" si="26"/>
        <v>165</v>
      </c>
      <c r="E170" s="38">
        <f t="shared" ca="1" si="21"/>
        <v>51104</v>
      </c>
      <c r="F170" s="2">
        <f t="shared" si="22"/>
        <v>2065.7562487353753</v>
      </c>
      <c r="G170" s="3">
        <f t="shared" si="23"/>
        <v>4136.4630496981836</v>
      </c>
      <c r="H170" s="2">
        <f t="shared" si="24"/>
        <v>6202.2192984335588</v>
      </c>
      <c r="I170" s="3">
        <f t="shared" si="25"/>
        <v>733305.45258649695</v>
      </c>
      <c r="K170" s="39">
        <f t="shared" si="29"/>
        <v>222944.54741350288</v>
      </c>
      <c r="L170" s="39">
        <f t="shared" si="29"/>
        <v>800421.63682803418</v>
      </c>
      <c r="M170" s="39">
        <f t="shared" si="29"/>
        <v>1023366.1842415342</v>
      </c>
    </row>
    <row r="171" spans="4:13" x14ac:dyDescent="0.45">
      <c r="D171">
        <f t="shared" si="26"/>
        <v>166</v>
      </c>
      <c r="E171" s="38">
        <f t="shared" ca="1" si="21"/>
        <v>51135</v>
      </c>
      <c r="F171" s="2">
        <f t="shared" si="22"/>
        <v>2077.3761276345112</v>
      </c>
      <c r="G171" s="3">
        <f t="shared" si="23"/>
        <v>4124.8431707990476</v>
      </c>
      <c r="H171" s="2">
        <f t="shared" si="24"/>
        <v>6202.2192984335588</v>
      </c>
      <c r="I171" s="3">
        <f t="shared" si="25"/>
        <v>731228.0764588624</v>
      </c>
      <c r="K171" s="39">
        <f t="shared" si="29"/>
        <v>225021.9235411374</v>
      </c>
      <c r="L171" s="39">
        <f t="shared" si="29"/>
        <v>804546.47999883327</v>
      </c>
      <c r="M171" s="39">
        <f t="shared" si="29"/>
        <v>1029568.4035399677</v>
      </c>
    </row>
    <row r="172" spans="4:13" x14ac:dyDescent="0.45">
      <c r="D172">
        <f t="shared" si="26"/>
        <v>167</v>
      </c>
      <c r="E172" s="38">
        <f t="shared" ca="1" si="21"/>
        <v>51166</v>
      </c>
      <c r="F172" s="2">
        <f t="shared" si="22"/>
        <v>2089.0613683524557</v>
      </c>
      <c r="G172" s="3">
        <f t="shared" si="23"/>
        <v>4113.1579300811027</v>
      </c>
      <c r="H172" s="2">
        <f t="shared" si="24"/>
        <v>6202.2192984335588</v>
      </c>
      <c r="I172" s="3">
        <f t="shared" si="25"/>
        <v>729139.0150905099</v>
      </c>
      <c r="K172" s="39">
        <f t="shared" si="29"/>
        <v>227110.98490948984</v>
      </c>
      <c r="L172" s="39">
        <f t="shared" si="29"/>
        <v>808659.6379289144</v>
      </c>
      <c r="M172" s="39">
        <f t="shared" si="29"/>
        <v>1035770.6228384012</v>
      </c>
    </row>
    <row r="173" spans="4:13" x14ac:dyDescent="0.45">
      <c r="D173">
        <f t="shared" si="26"/>
        <v>168</v>
      </c>
      <c r="E173" s="38">
        <f t="shared" ca="1" si="21"/>
        <v>51195</v>
      </c>
      <c r="F173" s="2">
        <f t="shared" si="22"/>
        <v>2100.8123385494382</v>
      </c>
      <c r="G173" s="3">
        <f t="shared" si="23"/>
        <v>4101.4069598841206</v>
      </c>
      <c r="H173" s="2">
        <f t="shared" si="24"/>
        <v>6202.2192984335588</v>
      </c>
      <c r="I173" s="3">
        <f t="shared" si="25"/>
        <v>727038.20275196049</v>
      </c>
      <c r="K173" s="39">
        <f t="shared" si="29"/>
        <v>229211.79724803928</v>
      </c>
      <c r="L173" s="39">
        <f t="shared" si="29"/>
        <v>812761.0448887985</v>
      </c>
      <c r="M173" s="39">
        <f t="shared" si="29"/>
        <v>1041972.8421368347</v>
      </c>
    </row>
    <row r="174" spans="4:13" x14ac:dyDescent="0.45">
      <c r="D174">
        <f t="shared" si="26"/>
        <v>169</v>
      </c>
      <c r="E174" s="38">
        <f t="shared" ca="1" si="21"/>
        <v>51226</v>
      </c>
      <c r="F174" s="2">
        <f t="shared" si="22"/>
        <v>2112.6294079537788</v>
      </c>
      <c r="G174" s="3">
        <f t="shared" si="23"/>
        <v>4089.58989047978</v>
      </c>
      <c r="H174" s="2">
        <f t="shared" si="24"/>
        <v>6202.2192984335588</v>
      </c>
      <c r="I174" s="3">
        <f t="shared" si="25"/>
        <v>724925.57334400667</v>
      </c>
      <c r="K174" s="39">
        <f t="shared" si="29"/>
        <v>231324.42665599307</v>
      </c>
      <c r="L174" s="39">
        <f t="shared" si="29"/>
        <v>816850.63477927831</v>
      </c>
      <c r="M174" s="39">
        <f t="shared" si="29"/>
        <v>1048175.0614352683</v>
      </c>
    </row>
    <row r="175" spans="4:13" x14ac:dyDescent="0.45">
      <c r="D175">
        <f t="shared" si="26"/>
        <v>170</v>
      </c>
      <c r="E175" s="38">
        <f t="shared" ca="1" si="21"/>
        <v>51256</v>
      </c>
      <c r="F175" s="2">
        <f t="shared" si="22"/>
        <v>2124.5129483735186</v>
      </c>
      <c r="G175" s="3">
        <f t="shared" si="23"/>
        <v>4077.7063500600402</v>
      </c>
      <c r="H175" s="2">
        <f t="shared" si="24"/>
        <v>6202.2192984335588</v>
      </c>
      <c r="I175" s="3">
        <f t="shared" si="25"/>
        <v>722801.0603956331</v>
      </c>
      <c r="K175" s="39">
        <f t="shared" si="29"/>
        <v>233448.93960436658</v>
      </c>
      <c r="L175" s="39">
        <f t="shared" si="29"/>
        <v>820928.34112933837</v>
      </c>
      <c r="M175" s="39">
        <f t="shared" si="29"/>
        <v>1054377.2807337018</v>
      </c>
    </row>
    <row r="176" spans="4:13" x14ac:dyDescent="0.45">
      <c r="D176">
        <f t="shared" si="26"/>
        <v>171</v>
      </c>
      <c r="E176" s="38">
        <f t="shared" ca="1" si="21"/>
        <v>51287</v>
      </c>
      <c r="F176" s="2">
        <f t="shared" si="22"/>
        <v>2136.4633337081195</v>
      </c>
      <c r="G176" s="3">
        <f t="shared" si="23"/>
        <v>4065.7559647254393</v>
      </c>
      <c r="H176" s="2">
        <f t="shared" si="24"/>
        <v>6202.2192984335588</v>
      </c>
      <c r="I176" s="3">
        <f t="shared" si="25"/>
        <v>720664.59706192499</v>
      </c>
      <c r="K176" s="39">
        <f t="shared" si="29"/>
        <v>235585.40293807469</v>
      </c>
      <c r="L176" s="39">
        <f t="shared" si="29"/>
        <v>824994.09709406376</v>
      </c>
      <c r="M176" s="39">
        <f t="shared" si="29"/>
        <v>1060579.5000321353</v>
      </c>
    </row>
    <row r="177" spans="4:13" x14ac:dyDescent="0.45">
      <c r="D177">
        <f t="shared" si="26"/>
        <v>172</v>
      </c>
      <c r="E177" s="38">
        <f t="shared" ca="1" si="21"/>
        <v>51317</v>
      </c>
      <c r="F177" s="2">
        <f t="shared" si="22"/>
        <v>2148.4809399602286</v>
      </c>
      <c r="G177" s="3">
        <f t="shared" si="23"/>
        <v>4053.7383584733302</v>
      </c>
      <c r="H177" s="2">
        <f t="shared" si="24"/>
        <v>6202.2192984335588</v>
      </c>
      <c r="I177" s="3">
        <f t="shared" si="25"/>
        <v>718516.11612196476</v>
      </c>
      <c r="K177" s="39">
        <f t="shared" si="29"/>
        <v>237733.88387803492</v>
      </c>
      <c r="L177" s="39">
        <f t="shared" si="29"/>
        <v>829047.83545253705</v>
      </c>
      <c r="M177" s="39">
        <f t="shared" si="29"/>
        <v>1066781.7193305688</v>
      </c>
    </row>
    <row r="178" spans="4:13" x14ac:dyDescent="0.45">
      <c r="D178">
        <f t="shared" si="26"/>
        <v>173</v>
      </c>
      <c r="E178" s="38">
        <f t="shared" ca="1" si="21"/>
        <v>51348</v>
      </c>
      <c r="F178" s="2">
        <f t="shared" si="22"/>
        <v>2160.5661452475042</v>
      </c>
      <c r="G178" s="3">
        <f t="shared" si="23"/>
        <v>4041.6531531860546</v>
      </c>
      <c r="H178" s="2">
        <f t="shared" si="24"/>
        <v>6202.2192984335588</v>
      </c>
      <c r="I178" s="3">
        <f t="shared" si="25"/>
        <v>716355.54997671722</v>
      </c>
      <c r="K178" s="39">
        <f t="shared" si="29"/>
        <v>239894.45002328244</v>
      </c>
      <c r="L178" s="39">
        <f t="shared" si="29"/>
        <v>833089.48860572313</v>
      </c>
      <c r="M178" s="39">
        <f t="shared" si="29"/>
        <v>1072983.9386290023</v>
      </c>
    </row>
    <row r="179" spans="4:13" x14ac:dyDescent="0.45">
      <c r="D179">
        <f t="shared" si="26"/>
        <v>174</v>
      </c>
      <c r="E179" s="38">
        <f t="shared" ca="1" si="21"/>
        <v>51379</v>
      </c>
      <c r="F179" s="2">
        <f t="shared" si="22"/>
        <v>2172.7193298145216</v>
      </c>
      <c r="G179" s="3">
        <f t="shared" si="23"/>
        <v>4029.4999686190372</v>
      </c>
      <c r="H179" s="2">
        <f t="shared" si="24"/>
        <v>6202.2192984335588</v>
      </c>
      <c r="I179" s="3">
        <f t="shared" si="25"/>
        <v>714182.83064690267</v>
      </c>
      <c r="K179" s="39">
        <f t="shared" si="29"/>
        <v>242067.16935309695</v>
      </c>
      <c r="L179" s="39">
        <f t="shared" si="29"/>
        <v>837118.98857434222</v>
      </c>
      <c r="M179" s="39">
        <f t="shared" si="29"/>
        <v>1079186.1579274358</v>
      </c>
    </row>
    <row r="180" spans="4:13" x14ac:dyDescent="0.45">
      <c r="D180">
        <f t="shared" si="26"/>
        <v>175</v>
      </c>
      <c r="E180" s="38">
        <f t="shared" ca="1" si="21"/>
        <v>51409</v>
      </c>
      <c r="F180" s="2">
        <f t="shared" si="22"/>
        <v>2184.9408760447282</v>
      </c>
      <c r="G180" s="3">
        <f t="shared" si="23"/>
        <v>4017.2784223888307</v>
      </c>
      <c r="H180" s="2">
        <f t="shared" si="24"/>
        <v>6202.2192984335588</v>
      </c>
      <c r="I180" s="3">
        <f t="shared" si="25"/>
        <v>711997.88977085799</v>
      </c>
      <c r="K180" s="39">
        <f t="shared" si="29"/>
        <v>244252.11022914169</v>
      </c>
      <c r="L180" s="39">
        <f t="shared" si="29"/>
        <v>841136.26699673105</v>
      </c>
      <c r="M180" s="39">
        <f t="shared" si="29"/>
        <v>1085388.3772258693</v>
      </c>
    </row>
    <row r="181" spans="4:13" x14ac:dyDescent="0.45">
      <c r="D181">
        <f t="shared" si="26"/>
        <v>176</v>
      </c>
      <c r="E181" s="38">
        <f t="shared" ca="1" si="21"/>
        <v>51440</v>
      </c>
      <c r="F181" s="2">
        <f t="shared" si="22"/>
        <v>2197.23116847248</v>
      </c>
      <c r="G181" s="3">
        <f t="shared" si="23"/>
        <v>4004.9881299610788</v>
      </c>
      <c r="H181" s="2">
        <f t="shared" si="24"/>
        <v>6202.2192984335588</v>
      </c>
      <c r="I181" s="3">
        <f t="shared" si="25"/>
        <v>709800.65860238555</v>
      </c>
      <c r="K181" s="39">
        <f t="shared" si="29"/>
        <v>246449.34139761416</v>
      </c>
      <c r="L181" s="39">
        <f t="shared" si="29"/>
        <v>845141.25512669212</v>
      </c>
      <c r="M181" s="39">
        <f t="shared" si="29"/>
        <v>1091590.5965243028</v>
      </c>
    </row>
    <row r="182" spans="4:13" x14ac:dyDescent="0.45">
      <c r="D182">
        <f t="shared" si="26"/>
        <v>177</v>
      </c>
      <c r="E182" s="38">
        <f t="shared" ca="1" si="21"/>
        <v>51470</v>
      </c>
      <c r="F182" s="2">
        <f t="shared" si="22"/>
        <v>2209.5905937951375</v>
      </c>
      <c r="G182" s="3">
        <f t="shared" si="23"/>
        <v>3992.6287046384214</v>
      </c>
      <c r="H182" s="2">
        <f t="shared" si="24"/>
        <v>6202.2192984335588</v>
      </c>
      <c r="I182" s="3">
        <f t="shared" si="25"/>
        <v>707591.06800859037</v>
      </c>
      <c r="K182" s="39">
        <f t="shared" si="29"/>
        <v>248658.93199140931</v>
      </c>
      <c r="L182" s="39">
        <f t="shared" si="29"/>
        <v>849133.88383133058</v>
      </c>
      <c r="M182" s="39">
        <f t="shared" si="29"/>
        <v>1097792.8158227364</v>
      </c>
    </row>
    <row r="183" spans="4:13" x14ac:dyDescent="0.45">
      <c r="D183">
        <f t="shared" si="26"/>
        <v>178</v>
      </c>
      <c r="E183" s="38">
        <f t="shared" ca="1" si="21"/>
        <v>51501</v>
      </c>
      <c r="F183" s="2">
        <f t="shared" si="22"/>
        <v>2222.0195408852351</v>
      </c>
      <c r="G183" s="3">
        <f t="shared" si="23"/>
        <v>3980.1997575483238</v>
      </c>
      <c r="H183" s="2">
        <f t="shared" si="24"/>
        <v>6202.2192984335588</v>
      </c>
      <c r="I183" s="3">
        <f t="shared" si="25"/>
        <v>705369.04846770514</v>
      </c>
      <c r="K183" s="39">
        <f t="shared" si="29"/>
        <v>250880.95153229454</v>
      </c>
      <c r="L183" s="39">
        <f t="shared" si="29"/>
        <v>853114.08358887886</v>
      </c>
      <c r="M183" s="39">
        <f t="shared" si="29"/>
        <v>1103995.0351211699</v>
      </c>
    </row>
    <row r="184" spans="4:13" x14ac:dyDescent="0.45">
      <c r="D184">
        <f t="shared" si="26"/>
        <v>179</v>
      </c>
      <c r="E184" s="38">
        <f t="shared" ca="1" si="21"/>
        <v>51532</v>
      </c>
      <c r="F184" s="2">
        <f t="shared" si="22"/>
        <v>2234.5184008027145</v>
      </c>
      <c r="G184" s="3">
        <f t="shared" si="23"/>
        <v>3967.7008976308443</v>
      </c>
      <c r="H184" s="2">
        <f t="shared" si="24"/>
        <v>6202.2192984335588</v>
      </c>
      <c r="I184" s="3">
        <f t="shared" si="25"/>
        <v>703134.5300669024</v>
      </c>
      <c r="K184" s="39">
        <f t="shared" ref="K184:M199" si="30">K183+F184</f>
        <v>253115.46993309725</v>
      </c>
      <c r="L184" s="39">
        <f t="shared" si="30"/>
        <v>857081.78448650974</v>
      </c>
      <c r="M184" s="39">
        <f t="shared" si="30"/>
        <v>1110197.2544196034</v>
      </c>
    </row>
    <row r="185" spans="4:13" x14ac:dyDescent="0.45">
      <c r="D185">
        <f t="shared" si="26"/>
        <v>180</v>
      </c>
      <c r="E185" s="38">
        <f t="shared" ca="1" si="21"/>
        <v>51560</v>
      </c>
      <c r="F185" s="2">
        <f t="shared" si="22"/>
        <v>2247.0875668072299</v>
      </c>
      <c r="G185" s="3">
        <f t="shared" si="23"/>
        <v>3955.1317316263289</v>
      </c>
      <c r="H185" s="2">
        <f t="shared" si="24"/>
        <v>6202.2192984335588</v>
      </c>
      <c r="I185" s="3">
        <f t="shared" si="25"/>
        <v>700887.44250009512</v>
      </c>
      <c r="K185" s="39">
        <f t="shared" si="30"/>
        <v>255362.55749990448</v>
      </c>
      <c r="L185" s="39">
        <f t="shared" si="30"/>
        <v>861036.91621813609</v>
      </c>
      <c r="M185" s="39">
        <f t="shared" si="30"/>
        <v>1116399.4737180369</v>
      </c>
    </row>
    <row r="186" spans="4:13" x14ac:dyDescent="0.45">
      <c r="D186">
        <f t="shared" si="26"/>
        <v>181</v>
      </c>
      <c r="E186" s="38">
        <f t="shared" ca="1" si="21"/>
        <v>51591</v>
      </c>
      <c r="F186" s="2">
        <f t="shared" si="22"/>
        <v>2259.7274343705203</v>
      </c>
      <c r="G186" s="3">
        <f t="shared" si="23"/>
        <v>3942.4918640630385</v>
      </c>
      <c r="H186" s="2">
        <f t="shared" si="24"/>
        <v>6202.2192984335588</v>
      </c>
      <c r="I186" s="3">
        <f t="shared" si="25"/>
        <v>698627.71506572457</v>
      </c>
      <c r="K186" s="39">
        <f t="shared" si="30"/>
        <v>257622.284934275</v>
      </c>
      <c r="L186" s="39">
        <f t="shared" si="30"/>
        <v>864979.40808219917</v>
      </c>
      <c r="M186" s="39">
        <f t="shared" si="30"/>
        <v>1122601.6930164704</v>
      </c>
    </row>
    <row r="187" spans="4:13" x14ac:dyDescent="0.45">
      <c r="D187">
        <f t="shared" si="26"/>
        <v>182</v>
      </c>
      <c r="E187" s="38">
        <f t="shared" ca="1" si="21"/>
        <v>51621</v>
      </c>
      <c r="F187" s="2">
        <f t="shared" si="22"/>
        <v>2272.4384011888551</v>
      </c>
      <c r="G187" s="3">
        <f t="shared" si="23"/>
        <v>3929.7808972447037</v>
      </c>
      <c r="H187" s="2">
        <f t="shared" si="24"/>
        <v>6202.2192984335588</v>
      </c>
      <c r="I187" s="3">
        <f t="shared" si="25"/>
        <v>696355.27666453575</v>
      </c>
      <c r="K187" s="39">
        <f t="shared" si="30"/>
        <v>259894.72333546384</v>
      </c>
      <c r="L187" s="39">
        <f t="shared" si="30"/>
        <v>868909.18897944386</v>
      </c>
      <c r="M187" s="39">
        <f t="shared" si="30"/>
        <v>1128803.9123149039</v>
      </c>
    </row>
    <row r="188" spans="4:13" x14ac:dyDescent="0.45">
      <c r="D188">
        <f t="shared" si="26"/>
        <v>183</v>
      </c>
      <c r="E188" s="38">
        <f t="shared" ca="1" si="21"/>
        <v>51652</v>
      </c>
      <c r="F188" s="2">
        <f t="shared" si="22"/>
        <v>2285.2208671955423</v>
      </c>
      <c r="G188" s="3">
        <f t="shared" si="23"/>
        <v>3916.9984312380166</v>
      </c>
      <c r="H188" s="2">
        <f t="shared" si="24"/>
        <v>6202.2192984335588</v>
      </c>
      <c r="I188" s="3">
        <f t="shared" si="25"/>
        <v>694070.05579734023</v>
      </c>
      <c r="K188" s="39">
        <f t="shared" si="30"/>
        <v>262179.94420265936</v>
      </c>
      <c r="L188" s="39">
        <f t="shared" si="30"/>
        <v>872826.18741068186</v>
      </c>
      <c r="M188" s="39">
        <f t="shared" si="30"/>
        <v>1135006.1316133374</v>
      </c>
    </row>
    <row r="189" spans="4:13" x14ac:dyDescent="0.45">
      <c r="D189">
        <f t="shared" si="26"/>
        <v>184</v>
      </c>
      <c r="E189" s="38">
        <f t="shared" ca="1" si="21"/>
        <v>51682</v>
      </c>
      <c r="F189" s="2">
        <f t="shared" si="22"/>
        <v>2298.0752345735168</v>
      </c>
      <c r="G189" s="3">
        <f t="shared" si="23"/>
        <v>3904.144063860042</v>
      </c>
      <c r="H189" s="2">
        <f t="shared" si="24"/>
        <v>6202.2192984335588</v>
      </c>
      <c r="I189" s="3">
        <f t="shared" si="25"/>
        <v>691771.98056276666</v>
      </c>
      <c r="K189" s="39">
        <f t="shared" si="30"/>
        <v>264478.01943723287</v>
      </c>
      <c r="L189" s="39">
        <f t="shared" si="30"/>
        <v>876730.33147454192</v>
      </c>
      <c r="M189" s="39">
        <f t="shared" si="30"/>
        <v>1141208.3509117709</v>
      </c>
    </row>
    <row r="190" spans="4:13" x14ac:dyDescent="0.45">
      <c r="D190">
        <f t="shared" si="26"/>
        <v>185</v>
      </c>
      <c r="E190" s="38">
        <f t="shared" ca="1" si="21"/>
        <v>51713</v>
      </c>
      <c r="F190" s="2">
        <f t="shared" si="22"/>
        <v>2311.0019077679935</v>
      </c>
      <c r="G190" s="3">
        <f t="shared" si="23"/>
        <v>3891.2173906655653</v>
      </c>
      <c r="H190" s="2">
        <f t="shared" si="24"/>
        <v>6202.2192984335588</v>
      </c>
      <c r="I190" s="3">
        <f t="shared" si="25"/>
        <v>689460.9786549987</v>
      </c>
      <c r="K190" s="39">
        <f t="shared" si="30"/>
        <v>266789.02134500089</v>
      </c>
      <c r="L190" s="39">
        <f t="shared" si="30"/>
        <v>880621.54886520747</v>
      </c>
      <c r="M190" s="39">
        <f t="shared" si="30"/>
        <v>1147410.5702102045</v>
      </c>
    </row>
    <row r="191" spans="4:13" x14ac:dyDescent="0.45">
      <c r="D191">
        <f t="shared" si="26"/>
        <v>186</v>
      </c>
      <c r="E191" s="38">
        <f t="shared" ca="1" si="21"/>
        <v>51744</v>
      </c>
      <c r="F191" s="2">
        <f t="shared" si="22"/>
        <v>2324.0012934991883</v>
      </c>
      <c r="G191" s="3">
        <f t="shared" si="23"/>
        <v>3878.2180049343706</v>
      </c>
      <c r="H191" s="2">
        <f t="shared" si="24"/>
        <v>6202.2192984335588</v>
      </c>
      <c r="I191" s="3">
        <f t="shared" si="25"/>
        <v>687136.97736149956</v>
      </c>
      <c r="K191" s="39">
        <f t="shared" si="30"/>
        <v>269113.02263850009</v>
      </c>
      <c r="L191" s="39">
        <f t="shared" si="30"/>
        <v>884499.76687014184</v>
      </c>
      <c r="M191" s="39">
        <f t="shared" si="30"/>
        <v>1153612.789508638</v>
      </c>
    </row>
    <row r="192" spans="4:13" x14ac:dyDescent="0.45">
      <c r="D192">
        <f t="shared" si="26"/>
        <v>187</v>
      </c>
      <c r="E192" s="38">
        <f t="shared" ca="1" si="21"/>
        <v>51774</v>
      </c>
      <c r="F192" s="2">
        <f t="shared" si="22"/>
        <v>2337.0738007751211</v>
      </c>
      <c r="G192" s="3">
        <f t="shared" si="23"/>
        <v>3865.1454976584378</v>
      </c>
      <c r="H192" s="2">
        <f t="shared" si="24"/>
        <v>6202.2192984335588</v>
      </c>
      <c r="I192" s="3">
        <f t="shared" si="25"/>
        <v>684799.90356072446</v>
      </c>
      <c r="K192" s="39">
        <f t="shared" si="30"/>
        <v>271450.09643927519</v>
      </c>
      <c r="L192" s="39">
        <f t="shared" si="30"/>
        <v>888364.91236780025</v>
      </c>
      <c r="M192" s="39">
        <f t="shared" si="30"/>
        <v>1159815.0088070715</v>
      </c>
    </row>
    <row r="193" spans="4:13" x14ac:dyDescent="0.45">
      <c r="D193">
        <f t="shared" si="26"/>
        <v>188</v>
      </c>
      <c r="E193" s="38">
        <f t="shared" ca="1" si="21"/>
        <v>51805</v>
      </c>
      <c r="F193" s="2">
        <f t="shared" si="22"/>
        <v>2350.2198409044809</v>
      </c>
      <c r="G193" s="3">
        <f t="shared" si="23"/>
        <v>3851.999457529078</v>
      </c>
      <c r="H193" s="2">
        <f t="shared" si="24"/>
        <v>6202.2192984335588</v>
      </c>
      <c r="I193" s="3">
        <f t="shared" si="25"/>
        <v>682449.68371981999</v>
      </c>
      <c r="K193" s="39">
        <f t="shared" si="30"/>
        <v>273800.31628017966</v>
      </c>
      <c r="L193" s="39">
        <f t="shared" si="30"/>
        <v>892216.9118253293</v>
      </c>
      <c r="M193" s="39">
        <f t="shared" si="30"/>
        <v>1166017.228105505</v>
      </c>
    </row>
    <row r="194" spans="4:13" x14ac:dyDescent="0.45">
      <c r="D194">
        <f t="shared" si="26"/>
        <v>189</v>
      </c>
      <c r="E194" s="38">
        <f t="shared" ca="1" si="21"/>
        <v>51835</v>
      </c>
      <c r="F194" s="2">
        <f t="shared" si="22"/>
        <v>2363.4398275095687</v>
      </c>
      <c r="G194" s="3">
        <f t="shared" si="23"/>
        <v>3838.7794709239902</v>
      </c>
      <c r="H194" s="2">
        <f t="shared" si="24"/>
        <v>6202.2192984335588</v>
      </c>
      <c r="I194" s="3">
        <f t="shared" si="25"/>
        <v>680086.24389231042</v>
      </c>
      <c r="K194" s="39">
        <f t="shared" si="30"/>
        <v>276163.75610768923</v>
      </c>
      <c r="L194" s="39">
        <f t="shared" si="30"/>
        <v>896055.69129625324</v>
      </c>
      <c r="M194" s="39">
        <f t="shared" si="30"/>
        <v>1172219.4474039385</v>
      </c>
    </row>
    <row r="195" spans="4:13" x14ac:dyDescent="0.45">
      <c r="D195">
        <f t="shared" si="26"/>
        <v>190</v>
      </c>
      <c r="E195" s="38">
        <f t="shared" ca="1" si="21"/>
        <v>51866</v>
      </c>
      <c r="F195" s="2">
        <f t="shared" si="22"/>
        <v>2376.7341765393098</v>
      </c>
      <c r="G195" s="3">
        <f t="shared" si="23"/>
        <v>3825.485121894249</v>
      </c>
      <c r="H195" s="2">
        <f t="shared" si="24"/>
        <v>6202.2192984335588</v>
      </c>
      <c r="I195" s="3">
        <f t="shared" si="25"/>
        <v>677709.50971577107</v>
      </c>
      <c r="K195" s="39">
        <f t="shared" si="30"/>
        <v>278540.49028422852</v>
      </c>
      <c r="L195" s="39">
        <f t="shared" si="30"/>
        <v>899881.17641814752</v>
      </c>
      <c r="M195" s="39">
        <f t="shared" si="30"/>
        <v>1178421.666702372</v>
      </c>
    </row>
    <row r="196" spans="4:13" x14ac:dyDescent="0.45">
      <c r="D196">
        <f t="shared" si="26"/>
        <v>191</v>
      </c>
      <c r="E196" s="38">
        <f t="shared" ca="1" si="21"/>
        <v>51897</v>
      </c>
      <c r="F196" s="2">
        <f t="shared" si="22"/>
        <v>2390.103306282344</v>
      </c>
      <c r="G196" s="3">
        <f t="shared" si="23"/>
        <v>3812.1159921512149</v>
      </c>
      <c r="H196" s="2">
        <f t="shared" si="24"/>
        <v>6202.2192984335588</v>
      </c>
      <c r="I196" s="3">
        <f t="shared" si="25"/>
        <v>675319.40640948876</v>
      </c>
      <c r="K196" s="39">
        <f t="shared" si="30"/>
        <v>280930.59359051089</v>
      </c>
      <c r="L196" s="39">
        <f t="shared" si="30"/>
        <v>903693.29241029872</v>
      </c>
      <c r="M196" s="39">
        <f t="shared" si="30"/>
        <v>1184623.8860008055</v>
      </c>
    </row>
    <row r="197" spans="4:13" x14ac:dyDescent="0.45">
      <c r="D197">
        <f t="shared" si="26"/>
        <v>192</v>
      </c>
      <c r="E197" s="38">
        <f t="shared" ca="1" si="21"/>
        <v>51925</v>
      </c>
      <c r="F197" s="2">
        <f t="shared" si="22"/>
        <v>2403.5476373801821</v>
      </c>
      <c r="G197" s="3">
        <f t="shared" si="23"/>
        <v>3798.6716610533767</v>
      </c>
      <c r="H197" s="2">
        <f t="shared" si="24"/>
        <v>6202.2192984335588</v>
      </c>
      <c r="I197" s="3">
        <f t="shared" si="25"/>
        <v>672915.85877210856</v>
      </c>
      <c r="K197" s="39">
        <f t="shared" si="30"/>
        <v>283334.14122789109</v>
      </c>
      <c r="L197" s="39">
        <f t="shared" si="30"/>
        <v>907491.96407135203</v>
      </c>
      <c r="M197" s="39">
        <f t="shared" si="30"/>
        <v>1190826.105299239</v>
      </c>
    </row>
    <row r="198" spans="4:13" x14ac:dyDescent="0.45">
      <c r="D198">
        <f t="shared" si="26"/>
        <v>193</v>
      </c>
      <c r="E198" s="38">
        <f t="shared" ca="1" si="21"/>
        <v>51956</v>
      </c>
      <c r="F198" s="2">
        <f t="shared" si="22"/>
        <v>2417.0675928404453</v>
      </c>
      <c r="G198" s="3">
        <f t="shared" si="23"/>
        <v>3785.1517055931135</v>
      </c>
      <c r="H198" s="2">
        <f t="shared" si="24"/>
        <v>6202.2192984335588</v>
      </c>
      <c r="I198" s="3">
        <f t="shared" si="25"/>
        <v>670498.79117926816</v>
      </c>
      <c r="K198" s="39">
        <f t="shared" si="30"/>
        <v>285751.20882073155</v>
      </c>
      <c r="L198" s="39">
        <f t="shared" si="30"/>
        <v>911277.11577694514</v>
      </c>
      <c r="M198" s="39">
        <f t="shared" si="30"/>
        <v>1197028.3245976726</v>
      </c>
    </row>
    <row r="199" spans="4:13" x14ac:dyDescent="0.45">
      <c r="D199">
        <f t="shared" si="26"/>
        <v>194</v>
      </c>
      <c r="E199" s="38">
        <f t="shared" ref="E199:E262" ca="1" si="31">EOMONTH(E198,1)</f>
        <v>51986</v>
      </c>
      <c r="F199" s="2">
        <f t="shared" ref="F199:F262" si="32">PPMT($B$4/12,D199,$B$5,-$B$3,0)</f>
        <v>2430.6635980501728</v>
      </c>
      <c r="G199" s="3">
        <f t="shared" ref="G199:G262" si="33">H199-F199</f>
        <v>3771.555700383386</v>
      </c>
      <c r="H199" s="2">
        <f t="shared" ref="H199:H262" si="34">$B$6</f>
        <v>6202.2192984335588</v>
      </c>
      <c r="I199" s="3">
        <f t="shared" ref="I199:I262" si="35">I198-F199</f>
        <v>668068.12758121802</v>
      </c>
      <c r="K199" s="39">
        <f t="shared" si="30"/>
        <v>288181.87241878174</v>
      </c>
      <c r="L199" s="39">
        <f t="shared" si="30"/>
        <v>915048.67147732852</v>
      </c>
      <c r="M199" s="39">
        <f t="shared" si="30"/>
        <v>1203230.5438961061</v>
      </c>
    </row>
    <row r="200" spans="4:13" x14ac:dyDescent="0.45">
      <c r="D200">
        <f t="shared" ref="D200:D263" si="36">D199+1</f>
        <v>195</v>
      </c>
      <c r="E200" s="38">
        <f t="shared" ca="1" si="31"/>
        <v>52017</v>
      </c>
      <c r="F200" s="2">
        <f t="shared" si="32"/>
        <v>2444.336080789205</v>
      </c>
      <c r="G200" s="3">
        <f t="shared" si="33"/>
        <v>3757.8832176443539</v>
      </c>
      <c r="H200" s="2">
        <f t="shared" si="34"/>
        <v>6202.2192984335588</v>
      </c>
      <c r="I200" s="3">
        <f t="shared" si="35"/>
        <v>665623.79150042881</v>
      </c>
      <c r="K200" s="39">
        <f t="shared" ref="K200:M215" si="37">K199+F200</f>
        <v>290626.20849957096</v>
      </c>
      <c r="L200" s="39">
        <f t="shared" si="37"/>
        <v>918806.55469497293</v>
      </c>
      <c r="M200" s="39">
        <f t="shared" si="37"/>
        <v>1209432.7631945396</v>
      </c>
    </row>
    <row r="201" spans="4:13" x14ac:dyDescent="0.45">
      <c r="D201">
        <f t="shared" si="36"/>
        <v>196</v>
      </c>
      <c r="E201" s="38">
        <f t="shared" ca="1" si="31"/>
        <v>52047</v>
      </c>
      <c r="F201" s="2">
        <f t="shared" si="32"/>
        <v>2458.0854712436444</v>
      </c>
      <c r="G201" s="3">
        <f t="shared" si="33"/>
        <v>3744.1338271899144</v>
      </c>
      <c r="H201" s="2">
        <f t="shared" si="34"/>
        <v>6202.2192984335588</v>
      </c>
      <c r="I201" s="3">
        <f t="shared" si="35"/>
        <v>663165.70602918521</v>
      </c>
      <c r="K201" s="39">
        <f t="shared" si="37"/>
        <v>293084.29397081462</v>
      </c>
      <c r="L201" s="39">
        <f t="shared" si="37"/>
        <v>922550.68852216285</v>
      </c>
      <c r="M201" s="39">
        <f t="shared" si="37"/>
        <v>1215634.9824929731</v>
      </c>
    </row>
    <row r="202" spans="4:13" x14ac:dyDescent="0.45">
      <c r="D202">
        <f t="shared" si="36"/>
        <v>197</v>
      </c>
      <c r="E202" s="38">
        <f t="shared" ca="1" si="31"/>
        <v>52078</v>
      </c>
      <c r="F202" s="2">
        <f t="shared" si="32"/>
        <v>2471.91220201939</v>
      </c>
      <c r="G202" s="3">
        <f t="shared" si="33"/>
        <v>3730.3070964141689</v>
      </c>
      <c r="H202" s="2">
        <f t="shared" si="34"/>
        <v>6202.2192984335588</v>
      </c>
      <c r="I202" s="3">
        <f t="shared" si="35"/>
        <v>660693.79382716585</v>
      </c>
      <c r="K202" s="39">
        <f t="shared" si="37"/>
        <v>295556.20617283403</v>
      </c>
      <c r="L202" s="39">
        <f t="shared" si="37"/>
        <v>926280.995618577</v>
      </c>
      <c r="M202" s="39">
        <f t="shared" si="37"/>
        <v>1221837.2017914066</v>
      </c>
    </row>
    <row r="203" spans="4:13" x14ac:dyDescent="0.45">
      <c r="D203">
        <f t="shared" si="36"/>
        <v>198</v>
      </c>
      <c r="E203" s="38">
        <f t="shared" ca="1" si="31"/>
        <v>52109</v>
      </c>
      <c r="F203" s="2">
        <f t="shared" si="32"/>
        <v>2485.8167081557494</v>
      </c>
      <c r="G203" s="3">
        <f t="shared" si="33"/>
        <v>3716.4025902778094</v>
      </c>
      <c r="H203" s="2">
        <f t="shared" si="34"/>
        <v>6202.2192984335588</v>
      </c>
      <c r="I203" s="3">
        <f t="shared" si="35"/>
        <v>658207.97711901006</v>
      </c>
      <c r="K203" s="39">
        <f t="shared" si="37"/>
        <v>298042.02288098977</v>
      </c>
      <c r="L203" s="39">
        <f t="shared" si="37"/>
        <v>929997.39820885484</v>
      </c>
      <c r="M203" s="39">
        <f t="shared" si="37"/>
        <v>1228039.4210898401</v>
      </c>
    </row>
    <row r="204" spans="4:13" x14ac:dyDescent="0.45">
      <c r="D204">
        <f t="shared" si="36"/>
        <v>199</v>
      </c>
      <c r="E204" s="38">
        <f t="shared" ca="1" si="31"/>
        <v>52139</v>
      </c>
      <c r="F204" s="2">
        <f t="shared" si="32"/>
        <v>2499.7994271391253</v>
      </c>
      <c r="G204" s="3">
        <f t="shared" si="33"/>
        <v>3702.4198712944335</v>
      </c>
      <c r="H204" s="2">
        <f t="shared" si="34"/>
        <v>6202.2192984335588</v>
      </c>
      <c r="I204" s="3">
        <f t="shared" si="35"/>
        <v>655708.17769187095</v>
      </c>
      <c r="K204" s="39">
        <f t="shared" si="37"/>
        <v>300541.82230812887</v>
      </c>
      <c r="L204" s="39">
        <f t="shared" si="37"/>
        <v>933699.81808014924</v>
      </c>
      <c r="M204" s="39">
        <f t="shared" si="37"/>
        <v>1234241.6403882736</v>
      </c>
    </row>
    <row r="205" spans="4:13" x14ac:dyDescent="0.45">
      <c r="D205">
        <f t="shared" si="36"/>
        <v>200</v>
      </c>
      <c r="E205" s="38">
        <f t="shared" ca="1" si="31"/>
        <v>52170</v>
      </c>
      <c r="F205" s="2">
        <f t="shared" si="32"/>
        <v>2513.8607989167826</v>
      </c>
      <c r="G205" s="3">
        <f t="shared" si="33"/>
        <v>3688.3584995167762</v>
      </c>
      <c r="H205" s="2">
        <f t="shared" si="34"/>
        <v>6202.2192984335588</v>
      </c>
      <c r="I205" s="3">
        <f t="shared" si="35"/>
        <v>653194.31689295417</v>
      </c>
      <c r="K205" s="39">
        <f t="shared" si="37"/>
        <v>303055.68310704565</v>
      </c>
      <c r="L205" s="39">
        <f t="shared" si="37"/>
        <v>937388.17657966597</v>
      </c>
      <c r="M205" s="39">
        <f t="shared" si="37"/>
        <v>1240443.8596867071</v>
      </c>
    </row>
    <row r="206" spans="4:13" x14ac:dyDescent="0.45">
      <c r="D206">
        <f t="shared" si="36"/>
        <v>201</v>
      </c>
      <c r="E206" s="38">
        <f t="shared" ca="1" si="31"/>
        <v>52200</v>
      </c>
      <c r="F206" s="2">
        <f t="shared" si="32"/>
        <v>2528.0012659106897</v>
      </c>
      <c r="G206" s="3">
        <f t="shared" si="33"/>
        <v>3674.2180325228692</v>
      </c>
      <c r="H206" s="2">
        <f t="shared" si="34"/>
        <v>6202.2192984335588</v>
      </c>
      <c r="I206" s="3">
        <f t="shared" si="35"/>
        <v>650666.31562704348</v>
      </c>
      <c r="K206" s="39">
        <f t="shared" si="37"/>
        <v>305583.68437295634</v>
      </c>
      <c r="L206" s="39">
        <f t="shared" si="37"/>
        <v>941062.3946121888</v>
      </c>
      <c r="M206" s="39">
        <f t="shared" si="37"/>
        <v>1246646.0789851407</v>
      </c>
    </row>
    <row r="207" spans="4:13" x14ac:dyDescent="0.45">
      <c r="D207">
        <f t="shared" si="36"/>
        <v>202</v>
      </c>
      <c r="E207" s="38">
        <f t="shared" ca="1" si="31"/>
        <v>52231</v>
      </c>
      <c r="F207" s="2">
        <f t="shared" si="32"/>
        <v>2542.2212730314372</v>
      </c>
      <c r="G207" s="3">
        <f t="shared" si="33"/>
        <v>3659.9980254021216</v>
      </c>
      <c r="H207" s="2">
        <f t="shared" si="34"/>
        <v>6202.2192984335588</v>
      </c>
      <c r="I207" s="3">
        <f t="shared" si="35"/>
        <v>648124.09435401205</v>
      </c>
      <c r="K207" s="39">
        <f t="shared" si="37"/>
        <v>308125.90564598778</v>
      </c>
      <c r="L207" s="39">
        <f t="shared" si="37"/>
        <v>944722.39263759088</v>
      </c>
      <c r="M207" s="39">
        <f t="shared" si="37"/>
        <v>1252848.2982835742</v>
      </c>
    </row>
    <row r="208" spans="4:13" x14ac:dyDescent="0.45">
      <c r="D208">
        <f t="shared" si="36"/>
        <v>203</v>
      </c>
      <c r="E208" s="38">
        <f t="shared" ca="1" si="31"/>
        <v>52262</v>
      </c>
      <c r="F208" s="2">
        <f t="shared" si="32"/>
        <v>2556.5212676922392</v>
      </c>
      <c r="G208" s="3">
        <f t="shared" si="33"/>
        <v>3645.6980307413196</v>
      </c>
      <c r="H208" s="2">
        <f t="shared" si="34"/>
        <v>6202.2192984335588</v>
      </c>
      <c r="I208" s="3">
        <f t="shared" si="35"/>
        <v>645567.57308631984</v>
      </c>
      <c r="K208" s="39">
        <f t="shared" si="37"/>
        <v>310682.42691368004</v>
      </c>
      <c r="L208" s="39">
        <f t="shared" si="37"/>
        <v>948368.09066833218</v>
      </c>
      <c r="M208" s="39">
        <f t="shared" si="37"/>
        <v>1259050.5175820077</v>
      </c>
    </row>
    <row r="209" spans="4:13" x14ac:dyDescent="0.45">
      <c r="D209">
        <f t="shared" si="36"/>
        <v>204</v>
      </c>
      <c r="E209" s="38">
        <f t="shared" ca="1" si="31"/>
        <v>52290</v>
      </c>
      <c r="F209" s="2">
        <f t="shared" si="32"/>
        <v>2570.9016998230077</v>
      </c>
      <c r="G209" s="3">
        <f t="shared" si="33"/>
        <v>3631.3175986105512</v>
      </c>
      <c r="H209" s="2">
        <f t="shared" si="34"/>
        <v>6202.2192984335588</v>
      </c>
      <c r="I209" s="3">
        <f t="shared" si="35"/>
        <v>642996.67138649686</v>
      </c>
      <c r="K209" s="39">
        <f t="shared" si="37"/>
        <v>313253.32861350308</v>
      </c>
      <c r="L209" s="39">
        <f t="shared" si="37"/>
        <v>951999.40826694272</v>
      </c>
      <c r="M209" s="39">
        <f t="shared" si="37"/>
        <v>1265252.7368804412</v>
      </c>
    </row>
    <row r="210" spans="4:13" x14ac:dyDescent="0.45">
      <c r="D210">
        <f t="shared" si="36"/>
        <v>205</v>
      </c>
      <c r="E210" s="38">
        <f t="shared" ca="1" si="31"/>
        <v>52321</v>
      </c>
      <c r="F210" s="2">
        <f t="shared" si="32"/>
        <v>2585.3630218845124</v>
      </c>
      <c r="G210" s="3">
        <f t="shared" si="33"/>
        <v>3616.8562765490465</v>
      </c>
      <c r="H210" s="2">
        <f t="shared" si="34"/>
        <v>6202.2192984335588</v>
      </c>
      <c r="I210" s="3">
        <f t="shared" si="35"/>
        <v>640411.3083646124</v>
      </c>
      <c r="K210" s="39">
        <f t="shared" si="37"/>
        <v>315838.6916353876</v>
      </c>
      <c r="L210" s="39">
        <f t="shared" si="37"/>
        <v>955616.26454349176</v>
      </c>
      <c r="M210" s="39">
        <f t="shared" si="37"/>
        <v>1271454.9561788747</v>
      </c>
    </row>
    <row r="211" spans="4:13" x14ac:dyDescent="0.45">
      <c r="D211">
        <f t="shared" si="36"/>
        <v>206</v>
      </c>
      <c r="E211" s="38">
        <f t="shared" ca="1" si="31"/>
        <v>52351</v>
      </c>
      <c r="F211" s="2">
        <f t="shared" si="32"/>
        <v>2599.9056888826126</v>
      </c>
      <c r="G211" s="3">
        <f t="shared" si="33"/>
        <v>3602.3136095509462</v>
      </c>
      <c r="H211" s="2">
        <f t="shared" si="34"/>
        <v>6202.2192984335588</v>
      </c>
      <c r="I211" s="3">
        <f t="shared" si="35"/>
        <v>637811.40267572983</v>
      </c>
      <c r="K211" s="39">
        <f t="shared" si="37"/>
        <v>318438.59732427023</v>
      </c>
      <c r="L211" s="39">
        <f t="shared" si="37"/>
        <v>959218.5781530427</v>
      </c>
      <c r="M211" s="39">
        <f t="shared" si="37"/>
        <v>1277657.1754773082</v>
      </c>
    </row>
    <row r="212" spans="4:13" x14ac:dyDescent="0.45">
      <c r="D212">
        <f t="shared" si="36"/>
        <v>207</v>
      </c>
      <c r="E212" s="38">
        <f t="shared" ca="1" si="31"/>
        <v>52382</v>
      </c>
      <c r="F212" s="2">
        <f t="shared" si="32"/>
        <v>2614.5301583825776</v>
      </c>
      <c r="G212" s="3">
        <f t="shared" si="33"/>
        <v>3587.6891400509812</v>
      </c>
      <c r="H212" s="2">
        <f t="shared" si="34"/>
        <v>6202.2192984335588</v>
      </c>
      <c r="I212" s="3">
        <f t="shared" si="35"/>
        <v>635196.87251734722</v>
      </c>
      <c r="K212" s="39">
        <f t="shared" si="37"/>
        <v>321053.12748265278</v>
      </c>
      <c r="L212" s="39">
        <f t="shared" si="37"/>
        <v>962806.26729309373</v>
      </c>
      <c r="M212" s="39">
        <f t="shared" si="37"/>
        <v>1283859.3947757417</v>
      </c>
    </row>
    <row r="213" spans="4:13" x14ac:dyDescent="0.45">
      <c r="D213">
        <f t="shared" si="36"/>
        <v>208</v>
      </c>
      <c r="E213" s="38">
        <f t="shared" ca="1" si="31"/>
        <v>52412</v>
      </c>
      <c r="F213" s="2">
        <f t="shared" si="32"/>
        <v>2629.2368905234794</v>
      </c>
      <c r="G213" s="3">
        <f t="shared" si="33"/>
        <v>3572.9824079100795</v>
      </c>
      <c r="H213" s="2">
        <f t="shared" si="34"/>
        <v>6202.2192984335588</v>
      </c>
      <c r="I213" s="3">
        <f t="shared" si="35"/>
        <v>632567.63562682376</v>
      </c>
      <c r="K213" s="39">
        <f t="shared" si="37"/>
        <v>323682.36437317624</v>
      </c>
      <c r="L213" s="39">
        <f t="shared" si="37"/>
        <v>966379.24970100378</v>
      </c>
      <c r="M213" s="39">
        <f t="shared" si="37"/>
        <v>1290061.6140741752</v>
      </c>
    </row>
    <row r="214" spans="4:13" x14ac:dyDescent="0.45">
      <c r="D214">
        <f t="shared" si="36"/>
        <v>209</v>
      </c>
      <c r="E214" s="38">
        <f t="shared" ca="1" si="31"/>
        <v>52443</v>
      </c>
      <c r="F214" s="2">
        <f t="shared" si="32"/>
        <v>2644.0263480326739</v>
      </c>
      <c r="G214" s="3">
        <f t="shared" si="33"/>
        <v>3558.1929504008849</v>
      </c>
      <c r="H214" s="2">
        <f t="shared" si="34"/>
        <v>6202.2192984335588</v>
      </c>
      <c r="I214" s="3">
        <f t="shared" si="35"/>
        <v>629923.60927879112</v>
      </c>
      <c r="K214" s="39">
        <f t="shared" si="37"/>
        <v>326326.39072120894</v>
      </c>
      <c r="L214" s="39">
        <f t="shared" si="37"/>
        <v>969937.44265140465</v>
      </c>
      <c r="M214" s="39">
        <f t="shared" si="37"/>
        <v>1296263.8333726088</v>
      </c>
    </row>
    <row r="215" spans="4:13" x14ac:dyDescent="0.45">
      <c r="D215">
        <f t="shared" si="36"/>
        <v>210</v>
      </c>
      <c r="E215" s="38">
        <f t="shared" ca="1" si="31"/>
        <v>52474</v>
      </c>
      <c r="F215" s="2">
        <f t="shared" si="32"/>
        <v>2658.898996240358</v>
      </c>
      <c r="G215" s="3">
        <f t="shared" si="33"/>
        <v>3543.3203021932009</v>
      </c>
      <c r="H215" s="2">
        <f t="shared" si="34"/>
        <v>6202.2192984335588</v>
      </c>
      <c r="I215" s="3">
        <f t="shared" si="35"/>
        <v>627264.71028255078</v>
      </c>
      <c r="K215" s="39">
        <f t="shared" si="37"/>
        <v>328985.28971744928</v>
      </c>
      <c r="L215" s="39">
        <f t="shared" si="37"/>
        <v>973480.76295359782</v>
      </c>
      <c r="M215" s="39">
        <f t="shared" si="37"/>
        <v>1302466.0526710423</v>
      </c>
    </row>
    <row r="216" spans="4:13" x14ac:dyDescent="0.45">
      <c r="D216">
        <f t="shared" si="36"/>
        <v>211</v>
      </c>
      <c r="E216" s="38">
        <f t="shared" ca="1" si="31"/>
        <v>52504</v>
      </c>
      <c r="F216" s="2">
        <f t="shared" si="32"/>
        <v>2673.8553030942098</v>
      </c>
      <c r="G216" s="3">
        <f t="shared" si="33"/>
        <v>3528.363995339349</v>
      </c>
      <c r="H216" s="2">
        <f t="shared" si="34"/>
        <v>6202.2192984335588</v>
      </c>
      <c r="I216" s="3">
        <f t="shared" si="35"/>
        <v>624590.85497945652</v>
      </c>
      <c r="K216" s="39">
        <f t="shared" ref="K216:M231" si="38">K215+F216</f>
        <v>331659.14502054348</v>
      </c>
      <c r="L216" s="39">
        <f t="shared" si="38"/>
        <v>977009.12694893719</v>
      </c>
      <c r="M216" s="39">
        <f t="shared" si="38"/>
        <v>1308668.2719694758</v>
      </c>
    </row>
    <row r="217" spans="4:13" x14ac:dyDescent="0.45">
      <c r="D217">
        <f t="shared" si="36"/>
        <v>212</v>
      </c>
      <c r="E217" s="38">
        <f t="shared" ca="1" si="31"/>
        <v>52535</v>
      </c>
      <c r="F217" s="2">
        <f t="shared" si="32"/>
        <v>2688.8957391741146</v>
      </c>
      <c r="G217" s="3">
        <f t="shared" si="33"/>
        <v>3513.3235592594442</v>
      </c>
      <c r="H217" s="2">
        <f t="shared" si="34"/>
        <v>6202.2192984335588</v>
      </c>
      <c r="I217" s="3">
        <f t="shared" si="35"/>
        <v>621901.95924028242</v>
      </c>
      <c r="K217" s="39">
        <f t="shared" si="38"/>
        <v>334348.04075971758</v>
      </c>
      <c r="L217" s="39">
        <f t="shared" si="38"/>
        <v>980522.45050819661</v>
      </c>
      <c r="M217" s="39">
        <f t="shared" si="38"/>
        <v>1314870.4912679093</v>
      </c>
    </row>
    <row r="218" spans="4:13" x14ac:dyDescent="0.45">
      <c r="D218">
        <f t="shared" si="36"/>
        <v>213</v>
      </c>
      <c r="E218" s="38">
        <f t="shared" ca="1" si="31"/>
        <v>52565</v>
      </c>
      <c r="F218" s="2">
        <f t="shared" si="32"/>
        <v>2704.0207777069691</v>
      </c>
      <c r="G218" s="3">
        <f t="shared" si="33"/>
        <v>3498.1985207265898</v>
      </c>
      <c r="H218" s="2">
        <f t="shared" si="34"/>
        <v>6202.2192984335588</v>
      </c>
      <c r="I218" s="3">
        <f t="shared" si="35"/>
        <v>619197.93846257543</v>
      </c>
      <c r="K218" s="39">
        <f t="shared" si="38"/>
        <v>337052.06153742457</v>
      </c>
      <c r="L218" s="39">
        <f t="shared" si="38"/>
        <v>984020.64902892325</v>
      </c>
      <c r="M218" s="39">
        <f t="shared" si="38"/>
        <v>1321072.7105663428</v>
      </c>
    </row>
    <row r="219" spans="4:13" x14ac:dyDescent="0.45">
      <c r="D219">
        <f t="shared" si="36"/>
        <v>214</v>
      </c>
      <c r="E219" s="38">
        <f t="shared" ca="1" si="31"/>
        <v>52596</v>
      </c>
      <c r="F219" s="2">
        <f t="shared" si="32"/>
        <v>2719.2308945815707</v>
      </c>
      <c r="G219" s="3">
        <f t="shared" si="33"/>
        <v>3482.9884038519881</v>
      </c>
      <c r="H219" s="2">
        <f t="shared" si="34"/>
        <v>6202.2192984335588</v>
      </c>
      <c r="I219" s="3">
        <f t="shared" si="35"/>
        <v>616478.7075679939</v>
      </c>
      <c r="K219" s="39">
        <f t="shared" si="38"/>
        <v>339771.29243200616</v>
      </c>
      <c r="L219" s="39">
        <f t="shared" si="38"/>
        <v>987503.63743277523</v>
      </c>
      <c r="M219" s="39">
        <f t="shared" si="38"/>
        <v>1327274.9298647763</v>
      </c>
    </row>
    <row r="220" spans="4:13" x14ac:dyDescent="0.45">
      <c r="D220">
        <f t="shared" si="36"/>
        <v>215</v>
      </c>
      <c r="E220" s="38">
        <f t="shared" ca="1" si="31"/>
        <v>52627</v>
      </c>
      <c r="F220" s="2">
        <f t="shared" si="32"/>
        <v>2734.5265683635921</v>
      </c>
      <c r="G220" s="3">
        <f t="shared" si="33"/>
        <v>3467.6927300699667</v>
      </c>
      <c r="H220" s="2">
        <f t="shared" si="34"/>
        <v>6202.2192984335588</v>
      </c>
      <c r="I220" s="3">
        <f t="shared" si="35"/>
        <v>613744.18099963036</v>
      </c>
      <c r="K220" s="39">
        <f t="shared" si="38"/>
        <v>342505.81900036975</v>
      </c>
      <c r="L220" s="39">
        <f t="shared" si="38"/>
        <v>990971.3301628452</v>
      </c>
      <c r="M220" s="39">
        <f t="shared" si="38"/>
        <v>1333477.1491632098</v>
      </c>
    </row>
    <row r="221" spans="4:13" x14ac:dyDescent="0.45">
      <c r="D221">
        <f t="shared" si="36"/>
        <v>216</v>
      </c>
      <c r="E221" s="38">
        <f t="shared" ca="1" si="31"/>
        <v>52656</v>
      </c>
      <c r="F221" s="2">
        <f t="shared" si="32"/>
        <v>2749.9082803106376</v>
      </c>
      <c r="G221" s="3">
        <f t="shared" si="33"/>
        <v>3452.3110181229213</v>
      </c>
      <c r="H221" s="2">
        <f t="shared" si="34"/>
        <v>6202.2192984335588</v>
      </c>
      <c r="I221" s="3">
        <f t="shared" si="35"/>
        <v>610994.27271931968</v>
      </c>
      <c r="K221" s="39">
        <f t="shared" si="38"/>
        <v>345255.72728068038</v>
      </c>
      <c r="L221" s="39">
        <f t="shared" si="38"/>
        <v>994423.64118096814</v>
      </c>
      <c r="M221" s="39">
        <f t="shared" si="38"/>
        <v>1339679.3684616433</v>
      </c>
    </row>
    <row r="222" spans="4:13" x14ac:dyDescent="0.45">
      <c r="D222">
        <f t="shared" si="36"/>
        <v>217</v>
      </c>
      <c r="E222" s="38">
        <f t="shared" ca="1" si="31"/>
        <v>52687</v>
      </c>
      <c r="F222" s="2">
        <f t="shared" si="32"/>
        <v>2765.3765143873848</v>
      </c>
      <c r="G222" s="3">
        <f t="shared" si="33"/>
        <v>3436.8427840461741</v>
      </c>
      <c r="H222" s="2">
        <f t="shared" si="34"/>
        <v>6202.2192984335588</v>
      </c>
      <c r="I222" s="3">
        <f t="shared" si="35"/>
        <v>608228.89620493224</v>
      </c>
      <c r="K222" s="39">
        <f t="shared" si="38"/>
        <v>348021.10379506776</v>
      </c>
      <c r="L222" s="39">
        <f t="shared" si="38"/>
        <v>997860.48396501434</v>
      </c>
      <c r="M222" s="39">
        <f t="shared" si="38"/>
        <v>1345881.5877600769</v>
      </c>
    </row>
    <row r="223" spans="4:13" x14ac:dyDescent="0.45">
      <c r="D223">
        <f t="shared" si="36"/>
        <v>218</v>
      </c>
      <c r="E223" s="38">
        <f t="shared" ca="1" si="31"/>
        <v>52717</v>
      </c>
      <c r="F223" s="2">
        <f t="shared" si="32"/>
        <v>2780.9317572808136</v>
      </c>
      <c r="G223" s="3">
        <f t="shared" si="33"/>
        <v>3421.2875411527452</v>
      </c>
      <c r="H223" s="2">
        <f t="shared" si="34"/>
        <v>6202.2192984335588</v>
      </c>
      <c r="I223" s="3">
        <f t="shared" si="35"/>
        <v>605447.96444765141</v>
      </c>
      <c r="K223" s="39">
        <f t="shared" si="38"/>
        <v>350802.03555234859</v>
      </c>
      <c r="L223" s="39">
        <f t="shared" si="38"/>
        <v>1001281.7715061671</v>
      </c>
      <c r="M223" s="39">
        <f t="shared" si="38"/>
        <v>1352083.8070585104</v>
      </c>
    </row>
    <row r="224" spans="4:13" x14ac:dyDescent="0.45">
      <c r="D224">
        <f t="shared" si="36"/>
        <v>219</v>
      </c>
      <c r="E224" s="38">
        <f t="shared" ca="1" si="31"/>
        <v>52748</v>
      </c>
      <c r="F224" s="2">
        <f t="shared" si="32"/>
        <v>2796.5744984155185</v>
      </c>
      <c r="G224" s="3">
        <f t="shared" si="33"/>
        <v>3405.6448000180403</v>
      </c>
      <c r="H224" s="2">
        <f t="shared" si="34"/>
        <v>6202.2192984335588</v>
      </c>
      <c r="I224" s="3">
        <f t="shared" si="35"/>
        <v>602651.38994923583</v>
      </c>
      <c r="K224" s="39">
        <f t="shared" si="38"/>
        <v>353598.61005076411</v>
      </c>
      <c r="L224" s="39">
        <f t="shared" si="38"/>
        <v>1004687.4163061852</v>
      </c>
      <c r="M224" s="39">
        <f t="shared" si="38"/>
        <v>1358286.0263569439</v>
      </c>
    </row>
    <row r="225" spans="4:13" x14ac:dyDescent="0.45">
      <c r="D225">
        <f t="shared" si="36"/>
        <v>220</v>
      </c>
      <c r="E225" s="38">
        <f t="shared" ca="1" si="31"/>
        <v>52778</v>
      </c>
      <c r="F225" s="2">
        <f t="shared" si="32"/>
        <v>2812.3052299691053</v>
      </c>
      <c r="G225" s="3">
        <f t="shared" si="33"/>
        <v>3389.9140684644535</v>
      </c>
      <c r="H225" s="2">
        <f t="shared" si="34"/>
        <v>6202.2192984335588</v>
      </c>
      <c r="I225" s="3">
        <f t="shared" si="35"/>
        <v>599839.08471926674</v>
      </c>
      <c r="K225" s="39">
        <f t="shared" si="38"/>
        <v>356410.9152807332</v>
      </c>
      <c r="L225" s="39">
        <f t="shared" si="38"/>
        <v>1008077.3303746496</v>
      </c>
      <c r="M225" s="39">
        <f t="shared" si="38"/>
        <v>1364488.2456553774</v>
      </c>
    </row>
    <row r="226" spans="4:13" x14ac:dyDescent="0.45">
      <c r="D226">
        <f t="shared" si="36"/>
        <v>221</v>
      </c>
      <c r="E226" s="38">
        <f t="shared" ca="1" si="31"/>
        <v>52809</v>
      </c>
      <c r="F226" s="2">
        <f t="shared" si="32"/>
        <v>2828.1244468876816</v>
      </c>
      <c r="G226" s="3">
        <f t="shared" si="33"/>
        <v>3374.0948515458772</v>
      </c>
      <c r="H226" s="2">
        <f t="shared" si="34"/>
        <v>6202.2192984335588</v>
      </c>
      <c r="I226" s="3">
        <f t="shared" si="35"/>
        <v>597010.9602723791</v>
      </c>
      <c r="K226" s="39">
        <f t="shared" si="38"/>
        <v>359239.0397276209</v>
      </c>
      <c r="L226" s="39">
        <f t="shared" si="38"/>
        <v>1011451.4252261955</v>
      </c>
      <c r="M226" s="39">
        <f t="shared" si="38"/>
        <v>1370690.4649538109</v>
      </c>
    </row>
    <row r="227" spans="4:13" x14ac:dyDescent="0.45">
      <c r="D227">
        <f t="shared" si="36"/>
        <v>222</v>
      </c>
      <c r="E227" s="38">
        <f t="shared" ca="1" si="31"/>
        <v>52840</v>
      </c>
      <c r="F227" s="2">
        <f t="shared" si="32"/>
        <v>2844.0326469014249</v>
      </c>
      <c r="G227" s="3">
        <f t="shared" si="33"/>
        <v>3358.186651532134</v>
      </c>
      <c r="H227" s="2">
        <f t="shared" si="34"/>
        <v>6202.2192984335588</v>
      </c>
      <c r="I227" s="3">
        <f t="shared" si="35"/>
        <v>594166.92762547766</v>
      </c>
      <c r="K227" s="39">
        <f t="shared" si="38"/>
        <v>362083.07237452234</v>
      </c>
      <c r="L227" s="39">
        <f t="shared" si="38"/>
        <v>1014809.6118777277</v>
      </c>
      <c r="M227" s="39">
        <f t="shared" si="38"/>
        <v>1376892.6842522444</v>
      </c>
    </row>
    <row r="228" spans="4:13" x14ac:dyDescent="0.45">
      <c r="D228">
        <f t="shared" si="36"/>
        <v>223</v>
      </c>
      <c r="E228" s="38">
        <f t="shared" ca="1" si="31"/>
        <v>52870</v>
      </c>
      <c r="F228" s="2">
        <f t="shared" si="32"/>
        <v>2860.0303305402454</v>
      </c>
      <c r="G228" s="3">
        <f t="shared" si="33"/>
        <v>3342.1889678933135</v>
      </c>
      <c r="H228" s="2">
        <f t="shared" si="34"/>
        <v>6202.2192984335588</v>
      </c>
      <c r="I228" s="3">
        <f t="shared" si="35"/>
        <v>591306.8972949374</v>
      </c>
      <c r="K228" s="39">
        <f t="shared" si="38"/>
        <v>364943.1027050626</v>
      </c>
      <c r="L228" s="39">
        <f t="shared" si="38"/>
        <v>1018151.800845621</v>
      </c>
      <c r="M228" s="39">
        <f t="shared" si="38"/>
        <v>1383094.9035506779</v>
      </c>
    </row>
    <row r="229" spans="4:13" x14ac:dyDescent="0.45">
      <c r="D229">
        <f t="shared" si="36"/>
        <v>224</v>
      </c>
      <c r="E229" s="38">
        <f t="shared" ca="1" si="31"/>
        <v>52901</v>
      </c>
      <c r="F229" s="2">
        <f t="shared" si="32"/>
        <v>2876.1180011495344</v>
      </c>
      <c r="G229" s="3">
        <f t="shared" si="33"/>
        <v>3326.1012972840244</v>
      </c>
      <c r="H229" s="2">
        <f t="shared" si="34"/>
        <v>6202.2192984335588</v>
      </c>
      <c r="I229" s="3">
        <f t="shared" si="35"/>
        <v>588430.7792937879</v>
      </c>
      <c r="K229" s="39">
        <f t="shared" si="38"/>
        <v>367819.22070621216</v>
      </c>
      <c r="L229" s="39">
        <f t="shared" si="38"/>
        <v>1021477.902142905</v>
      </c>
      <c r="M229" s="39">
        <f t="shared" si="38"/>
        <v>1389297.1228491114</v>
      </c>
    </row>
    <row r="230" spans="4:13" x14ac:dyDescent="0.45">
      <c r="D230">
        <f t="shared" si="36"/>
        <v>225</v>
      </c>
      <c r="E230" s="38">
        <f t="shared" ca="1" si="31"/>
        <v>52931</v>
      </c>
      <c r="F230" s="2">
        <f t="shared" si="32"/>
        <v>2892.2961649060007</v>
      </c>
      <c r="G230" s="3">
        <f t="shared" si="33"/>
        <v>3309.9231335275581</v>
      </c>
      <c r="H230" s="2">
        <f t="shared" si="34"/>
        <v>6202.2192984335588</v>
      </c>
      <c r="I230" s="3">
        <f t="shared" si="35"/>
        <v>585538.4831288819</v>
      </c>
      <c r="K230" s="39">
        <f t="shared" si="38"/>
        <v>370711.51687111816</v>
      </c>
      <c r="L230" s="39">
        <f t="shared" si="38"/>
        <v>1024787.8252764326</v>
      </c>
      <c r="M230" s="39">
        <f t="shared" si="38"/>
        <v>1395499.342147545</v>
      </c>
    </row>
    <row r="231" spans="4:13" x14ac:dyDescent="0.45">
      <c r="D231">
        <f t="shared" si="36"/>
        <v>226</v>
      </c>
      <c r="E231" s="38">
        <f t="shared" ca="1" si="31"/>
        <v>52962</v>
      </c>
      <c r="F231" s="2">
        <f t="shared" si="32"/>
        <v>2908.5653308335968</v>
      </c>
      <c r="G231" s="3">
        <f t="shared" si="33"/>
        <v>3293.653967599962</v>
      </c>
      <c r="H231" s="2">
        <f t="shared" si="34"/>
        <v>6202.2192984335588</v>
      </c>
      <c r="I231" s="3">
        <f t="shared" si="35"/>
        <v>582629.91779804835</v>
      </c>
      <c r="K231" s="39">
        <f t="shared" si="38"/>
        <v>373620.08220195177</v>
      </c>
      <c r="L231" s="39">
        <f t="shared" si="38"/>
        <v>1028081.4792440325</v>
      </c>
      <c r="M231" s="39">
        <f t="shared" si="38"/>
        <v>1401701.5614459785</v>
      </c>
    </row>
    <row r="232" spans="4:13" x14ac:dyDescent="0.45">
      <c r="D232">
        <f t="shared" si="36"/>
        <v>227</v>
      </c>
      <c r="E232" s="38">
        <f t="shared" ca="1" si="31"/>
        <v>52993</v>
      </c>
      <c r="F232" s="2">
        <f t="shared" si="32"/>
        <v>2924.9260108195358</v>
      </c>
      <c r="G232" s="3">
        <f t="shared" si="33"/>
        <v>3277.293287614023</v>
      </c>
      <c r="H232" s="2">
        <f t="shared" si="34"/>
        <v>6202.2192984335588</v>
      </c>
      <c r="I232" s="3">
        <f t="shared" si="35"/>
        <v>579704.99178722885</v>
      </c>
      <c r="K232" s="39">
        <f t="shared" ref="K232:M247" si="39">K231+F232</f>
        <v>376545.00821277132</v>
      </c>
      <c r="L232" s="39">
        <f t="shared" si="39"/>
        <v>1031358.7725316465</v>
      </c>
      <c r="M232" s="39">
        <f t="shared" si="39"/>
        <v>1407903.780744412</v>
      </c>
    </row>
    <row r="233" spans="4:13" x14ac:dyDescent="0.45">
      <c r="D233">
        <f t="shared" si="36"/>
        <v>228</v>
      </c>
      <c r="E233" s="38">
        <f t="shared" ca="1" si="31"/>
        <v>53021</v>
      </c>
      <c r="F233" s="2">
        <f t="shared" si="32"/>
        <v>2941.3787196303956</v>
      </c>
      <c r="G233" s="3">
        <f t="shared" si="33"/>
        <v>3260.8405788031632</v>
      </c>
      <c r="H233" s="2">
        <f t="shared" si="34"/>
        <v>6202.2192984335588</v>
      </c>
      <c r="I233" s="3">
        <f t="shared" si="35"/>
        <v>576763.61306759843</v>
      </c>
      <c r="K233" s="39">
        <f t="shared" si="39"/>
        <v>379486.38693240174</v>
      </c>
      <c r="L233" s="39">
        <f t="shared" si="39"/>
        <v>1034619.6131104497</v>
      </c>
      <c r="M233" s="39">
        <f t="shared" si="39"/>
        <v>1414106.0000428455</v>
      </c>
    </row>
    <row r="234" spans="4:13" x14ac:dyDescent="0.45">
      <c r="D234">
        <f t="shared" si="36"/>
        <v>229</v>
      </c>
      <c r="E234" s="38">
        <f t="shared" ca="1" si="31"/>
        <v>53052</v>
      </c>
      <c r="F234" s="2">
        <f t="shared" si="32"/>
        <v>2957.9239749283165</v>
      </c>
      <c r="G234" s="3">
        <f t="shared" si="33"/>
        <v>3244.2953235052423</v>
      </c>
      <c r="H234" s="2">
        <f t="shared" si="34"/>
        <v>6202.2192984335588</v>
      </c>
      <c r="I234" s="3">
        <f t="shared" si="35"/>
        <v>573805.6890926701</v>
      </c>
      <c r="K234" s="39">
        <f t="shared" si="39"/>
        <v>382444.31090733007</v>
      </c>
      <c r="L234" s="39">
        <f t="shared" si="39"/>
        <v>1037863.908433955</v>
      </c>
      <c r="M234" s="39">
        <f t="shared" si="39"/>
        <v>1420308.219341279</v>
      </c>
    </row>
    <row r="235" spans="4:13" x14ac:dyDescent="0.45">
      <c r="D235">
        <f t="shared" si="36"/>
        <v>230</v>
      </c>
      <c r="E235" s="38">
        <f t="shared" ca="1" si="31"/>
        <v>53082</v>
      </c>
      <c r="F235" s="2">
        <f t="shared" si="32"/>
        <v>2974.5622972872884</v>
      </c>
      <c r="G235" s="3">
        <f t="shared" si="33"/>
        <v>3227.6570011462704</v>
      </c>
      <c r="H235" s="2">
        <f t="shared" si="34"/>
        <v>6202.2192984335588</v>
      </c>
      <c r="I235" s="3">
        <f t="shared" si="35"/>
        <v>570831.12679538282</v>
      </c>
      <c r="K235" s="39">
        <f t="shared" si="39"/>
        <v>385418.87320461735</v>
      </c>
      <c r="L235" s="39">
        <f t="shared" si="39"/>
        <v>1041091.5654351013</v>
      </c>
      <c r="M235" s="39">
        <f t="shared" si="39"/>
        <v>1426510.4386397125</v>
      </c>
    </row>
    <row r="236" spans="4:13" x14ac:dyDescent="0.45">
      <c r="D236">
        <f t="shared" si="36"/>
        <v>231</v>
      </c>
      <c r="E236" s="38">
        <f t="shared" ca="1" si="31"/>
        <v>53113</v>
      </c>
      <c r="F236" s="2">
        <f t="shared" si="32"/>
        <v>2991.294210209529</v>
      </c>
      <c r="G236" s="3">
        <f t="shared" si="33"/>
        <v>3210.9250882240299</v>
      </c>
      <c r="H236" s="2">
        <f t="shared" si="34"/>
        <v>6202.2192984335588</v>
      </c>
      <c r="I236" s="3">
        <f t="shared" si="35"/>
        <v>567839.83258517331</v>
      </c>
      <c r="K236" s="39">
        <f t="shared" si="39"/>
        <v>388410.16741482686</v>
      </c>
      <c r="L236" s="39">
        <f t="shared" si="39"/>
        <v>1044302.4905233253</v>
      </c>
      <c r="M236" s="39">
        <f t="shared" si="39"/>
        <v>1432712.657938146</v>
      </c>
    </row>
    <row r="237" spans="4:13" x14ac:dyDescent="0.45">
      <c r="D237">
        <f t="shared" si="36"/>
        <v>232</v>
      </c>
      <c r="E237" s="38">
        <f t="shared" ca="1" si="31"/>
        <v>53143</v>
      </c>
      <c r="F237" s="2">
        <f t="shared" si="32"/>
        <v>3008.1202401419582</v>
      </c>
      <c r="G237" s="3">
        <f t="shared" si="33"/>
        <v>3194.0990582916006</v>
      </c>
      <c r="H237" s="2">
        <f t="shared" si="34"/>
        <v>6202.2192984335588</v>
      </c>
      <c r="I237" s="3">
        <f t="shared" si="35"/>
        <v>564831.71234503132</v>
      </c>
      <c r="K237" s="39">
        <f t="shared" si="39"/>
        <v>391418.28765496885</v>
      </c>
      <c r="L237" s="39">
        <f t="shared" si="39"/>
        <v>1047496.5895816169</v>
      </c>
      <c r="M237" s="39">
        <f t="shared" si="39"/>
        <v>1438914.8772365795</v>
      </c>
    </row>
    <row r="238" spans="4:13" x14ac:dyDescent="0.45">
      <c r="D238">
        <f t="shared" si="36"/>
        <v>233</v>
      </c>
      <c r="E238" s="38">
        <f t="shared" ca="1" si="31"/>
        <v>53174</v>
      </c>
      <c r="F238" s="2">
        <f t="shared" si="32"/>
        <v>3025.0409164927564</v>
      </c>
      <c r="G238" s="3">
        <f t="shared" si="33"/>
        <v>3177.1783819408024</v>
      </c>
      <c r="H238" s="2">
        <f t="shared" si="34"/>
        <v>6202.2192984335588</v>
      </c>
      <c r="I238" s="3">
        <f t="shared" si="35"/>
        <v>561806.67142853851</v>
      </c>
      <c r="K238" s="39">
        <f t="shared" si="39"/>
        <v>394443.32857146161</v>
      </c>
      <c r="L238" s="39">
        <f t="shared" si="39"/>
        <v>1050673.7679635577</v>
      </c>
      <c r="M238" s="39">
        <f t="shared" si="39"/>
        <v>1445117.0965350131</v>
      </c>
    </row>
    <row r="239" spans="4:13" x14ac:dyDescent="0.45">
      <c r="D239">
        <f t="shared" si="36"/>
        <v>234</v>
      </c>
      <c r="E239" s="38">
        <f t="shared" ca="1" si="31"/>
        <v>53205</v>
      </c>
      <c r="F239" s="2">
        <f t="shared" si="32"/>
        <v>3042.0567716480286</v>
      </c>
      <c r="G239" s="3">
        <f t="shared" si="33"/>
        <v>3160.1625267855302</v>
      </c>
      <c r="H239" s="2">
        <f t="shared" si="34"/>
        <v>6202.2192984335588</v>
      </c>
      <c r="I239" s="3">
        <f t="shared" si="35"/>
        <v>558764.61465689051</v>
      </c>
      <c r="K239" s="39">
        <f t="shared" si="39"/>
        <v>397485.38534310961</v>
      </c>
      <c r="L239" s="39">
        <f t="shared" si="39"/>
        <v>1053833.9304903434</v>
      </c>
      <c r="M239" s="39">
        <f t="shared" si="39"/>
        <v>1451319.3158334466</v>
      </c>
    </row>
    <row r="240" spans="4:13" x14ac:dyDescent="0.45">
      <c r="D240">
        <f t="shared" si="36"/>
        <v>235</v>
      </c>
      <c r="E240" s="38">
        <f t="shared" ca="1" si="31"/>
        <v>53235</v>
      </c>
      <c r="F240" s="2">
        <f t="shared" si="32"/>
        <v>3059.1683409885486</v>
      </c>
      <c r="G240" s="3">
        <f t="shared" si="33"/>
        <v>3143.0509574450102</v>
      </c>
      <c r="H240" s="2">
        <f t="shared" si="34"/>
        <v>6202.2192984335588</v>
      </c>
      <c r="I240" s="3">
        <f t="shared" si="35"/>
        <v>555705.44631590194</v>
      </c>
      <c r="K240" s="39">
        <f t="shared" si="39"/>
        <v>400544.55368409818</v>
      </c>
      <c r="L240" s="39">
        <f t="shared" si="39"/>
        <v>1056976.9814477884</v>
      </c>
      <c r="M240" s="39">
        <f t="shared" si="39"/>
        <v>1457521.5351318801</v>
      </c>
    </row>
    <row r="241" spans="4:13" x14ac:dyDescent="0.45">
      <c r="D241">
        <f t="shared" si="36"/>
        <v>236</v>
      </c>
      <c r="E241" s="38">
        <f t="shared" ca="1" si="31"/>
        <v>53266</v>
      </c>
      <c r="F241" s="2">
        <f t="shared" si="32"/>
        <v>3076.3761629066094</v>
      </c>
      <c r="G241" s="3">
        <f t="shared" si="33"/>
        <v>3125.8431355269495</v>
      </c>
      <c r="H241" s="2">
        <f t="shared" si="34"/>
        <v>6202.2192984335588</v>
      </c>
      <c r="I241" s="3">
        <f t="shared" si="35"/>
        <v>552629.07015299529</v>
      </c>
      <c r="K241" s="39">
        <f t="shared" si="39"/>
        <v>403620.92984700477</v>
      </c>
      <c r="L241" s="39">
        <f t="shared" si="39"/>
        <v>1060102.8245833153</v>
      </c>
      <c r="M241" s="39">
        <f t="shared" si="39"/>
        <v>1463723.7544303136</v>
      </c>
    </row>
    <row r="242" spans="4:13" x14ac:dyDescent="0.45">
      <c r="D242">
        <f t="shared" si="36"/>
        <v>237</v>
      </c>
      <c r="E242" s="38">
        <f t="shared" ca="1" si="31"/>
        <v>53296</v>
      </c>
      <c r="F242" s="2">
        <f t="shared" si="32"/>
        <v>3093.6807788229585</v>
      </c>
      <c r="G242" s="3">
        <f t="shared" si="33"/>
        <v>3108.5385196106004</v>
      </c>
      <c r="H242" s="2">
        <f t="shared" si="34"/>
        <v>6202.2192984335588</v>
      </c>
      <c r="I242" s="3">
        <f t="shared" si="35"/>
        <v>549535.38937417232</v>
      </c>
      <c r="K242" s="39">
        <f t="shared" si="39"/>
        <v>406714.61062582774</v>
      </c>
      <c r="L242" s="39">
        <f t="shared" si="39"/>
        <v>1063211.3631029259</v>
      </c>
      <c r="M242" s="39">
        <f t="shared" si="39"/>
        <v>1469925.9737287471</v>
      </c>
    </row>
    <row r="243" spans="4:13" x14ac:dyDescent="0.45">
      <c r="D243">
        <f t="shared" si="36"/>
        <v>238</v>
      </c>
      <c r="E243" s="38">
        <f t="shared" ca="1" si="31"/>
        <v>53327</v>
      </c>
      <c r="F243" s="2">
        <f t="shared" si="32"/>
        <v>3111.0827332038375</v>
      </c>
      <c r="G243" s="3">
        <f t="shared" si="33"/>
        <v>3091.1365652297213</v>
      </c>
      <c r="H243" s="2">
        <f t="shared" si="34"/>
        <v>6202.2192984335588</v>
      </c>
      <c r="I243" s="3">
        <f t="shared" si="35"/>
        <v>546424.30664096843</v>
      </c>
      <c r="K243" s="39">
        <f t="shared" si="39"/>
        <v>409825.69335903157</v>
      </c>
      <c r="L243" s="39">
        <f t="shared" si="39"/>
        <v>1066302.4996681556</v>
      </c>
      <c r="M243" s="39">
        <f t="shared" si="39"/>
        <v>1476128.1930271806</v>
      </c>
    </row>
    <row r="244" spans="4:13" x14ac:dyDescent="0.45">
      <c r="D244">
        <f t="shared" si="36"/>
        <v>239</v>
      </c>
      <c r="E244" s="38">
        <f t="shared" ca="1" si="31"/>
        <v>53358</v>
      </c>
      <c r="F244" s="2">
        <f t="shared" si="32"/>
        <v>3128.5825735781095</v>
      </c>
      <c r="G244" s="3">
        <f t="shared" si="33"/>
        <v>3073.6367248554493</v>
      </c>
      <c r="H244" s="2">
        <f t="shared" si="34"/>
        <v>6202.2192984335588</v>
      </c>
      <c r="I244" s="3">
        <f t="shared" si="35"/>
        <v>543295.72406739031</v>
      </c>
      <c r="K244" s="39">
        <f t="shared" si="39"/>
        <v>412954.27593260969</v>
      </c>
      <c r="L244" s="39">
        <f t="shared" si="39"/>
        <v>1069376.1363930111</v>
      </c>
      <c r="M244" s="39">
        <f t="shared" si="39"/>
        <v>1482330.4123256141</v>
      </c>
    </row>
    <row r="245" spans="4:13" x14ac:dyDescent="0.45">
      <c r="D245">
        <f t="shared" si="36"/>
        <v>240</v>
      </c>
      <c r="E245" s="38">
        <f t="shared" ca="1" si="31"/>
        <v>53386</v>
      </c>
      <c r="F245" s="2">
        <f t="shared" si="32"/>
        <v>3146.1808505544864</v>
      </c>
      <c r="G245" s="3">
        <f t="shared" si="33"/>
        <v>3056.0384478790725</v>
      </c>
      <c r="H245" s="2">
        <f t="shared" si="34"/>
        <v>6202.2192984335588</v>
      </c>
      <c r="I245" s="3">
        <f t="shared" si="35"/>
        <v>540149.54321683582</v>
      </c>
      <c r="K245" s="39">
        <f t="shared" si="39"/>
        <v>416100.45678316418</v>
      </c>
      <c r="L245" s="39">
        <f t="shared" si="39"/>
        <v>1072432.1748408901</v>
      </c>
      <c r="M245" s="39">
        <f t="shared" si="39"/>
        <v>1488532.6316240476</v>
      </c>
    </row>
    <row r="246" spans="4:13" x14ac:dyDescent="0.45">
      <c r="D246">
        <f t="shared" si="36"/>
        <v>241</v>
      </c>
      <c r="E246" s="38">
        <f t="shared" ca="1" si="31"/>
        <v>53417</v>
      </c>
      <c r="F246" s="2">
        <f t="shared" si="32"/>
        <v>3163.8781178388554</v>
      </c>
      <c r="G246" s="3">
        <f t="shared" si="33"/>
        <v>3038.3411805947035</v>
      </c>
      <c r="H246" s="2">
        <f t="shared" si="34"/>
        <v>6202.2192984335588</v>
      </c>
      <c r="I246" s="3">
        <f t="shared" si="35"/>
        <v>536985.66509899695</v>
      </c>
      <c r="K246" s="39">
        <f t="shared" si="39"/>
        <v>419264.33490100305</v>
      </c>
      <c r="L246" s="39">
        <f t="shared" si="39"/>
        <v>1075470.5160214847</v>
      </c>
      <c r="M246" s="39">
        <f t="shared" si="39"/>
        <v>1494734.8509224812</v>
      </c>
    </row>
    <row r="247" spans="4:13" x14ac:dyDescent="0.45">
      <c r="D247">
        <f t="shared" si="36"/>
        <v>242</v>
      </c>
      <c r="E247" s="38">
        <f t="shared" ca="1" si="31"/>
        <v>53447</v>
      </c>
      <c r="F247" s="2">
        <f t="shared" si="32"/>
        <v>3181.6749322516985</v>
      </c>
      <c r="G247" s="3">
        <f t="shared" si="33"/>
        <v>3020.5443661818604</v>
      </c>
      <c r="H247" s="2">
        <f t="shared" si="34"/>
        <v>6202.2192984335588</v>
      </c>
      <c r="I247" s="3">
        <f t="shared" si="35"/>
        <v>533803.99016674527</v>
      </c>
      <c r="K247" s="39">
        <f t="shared" si="39"/>
        <v>422446.00983325473</v>
      </c>
      <c r="L247" s="39">
        <f t="shared" si="39"/>
        <v>1078491.0603876666</v>
      </c>
      <c r="M247" s="39">
        <f t="shared" si="39"/>
        <v>1500937.0702209147</v>
      </c>
    </row>
    <row r="248" spans="4:13" x14ac:dyDescent="0.45">
      <c r="D248">
        <f t="shared" si="36"/>
        <v>243</v>
      </c>
      <c r="E248" s="38">
        <f t="shared" ca="1" si="31"/>
        <v>53478</v>
      </c>
      <c r="F248" s="2">
        <f t="shared" si="32"/>
        <v>3199.5718537456146</v>
      </c>
      <c r="G248" s="3">
        <f t="shared" si="33"/>
        <v>3002.6474446879442</v>
      </c>
      <c r="H248" s="2">
        <f t="shared" si="34"/>
        <v>6202.2192984335588</v>
      </c>
      <c r="I248" s="3">
        <f t="shared" si="35"/>
        <v>530604.41831299965</v>
      </c>
      <c r="K248" s="39">
        <f t="shared" ref="K248:M263" si="40">K247+F248</f>
        <v>425645.58168700035</v>
      </c>
      <c r="L248" s="39">
        <f t="shared" si="40"/>
        <v>1081493.7078323546</v>
      </c>
      <c r="M248" s="39">
        <f t="shared" si="40"/>
        <v>1507139.2895193482</v>
      </c>
    </row>
    <row r="249" spans="4:13" x14ac:dyDescent="0.45">
      <c r="D249">
        <f t="shared" si="36"/>
        <v>244</v>
      </c>
      <c r="E249" s="38">
        <f t="shared" ca="1" si="31"/>
        <v>53508</v>
      </c>
      <c r="F249" s="2">
        <f t="shared" si="32"/>
        <v>3217.5694454229338</v>
      </c>
      <c r="G249" s="3">
        <f t="shared" si="33"/>
        <v>2984.6498530106251</v>
      </c>
      <c r="H249" s="2">
        <f t="shared" si="34"/>
        <v>6202.2192984335588</v>
      </c>
      <c r="I249" s="3">
        <f t="shared" si="35"/>
        <v>527386.84886757669</v>
      </c>
      <c r="K249" s="39">
        <f t="shared" si="40"/>
        <v>428863.15113242326</v>
      </c>
      <c r="L249" s="39">
        <f t="shared" si="40"/>
        <v>1084478.3576853652</v>
      </c>
      <c r="M249" s="39">
        <f t="shared" si="40"/>
        <v>1513341.5088177817</v>
      </c>
    </row>
    <row r="250" spans="4:13" x14ac:dyDescent="0.45">
      <c r="D250">
        <f t="shared" si="36"/>
        <v>245</v>
      </c>
      <c r="E250" s="38">
        <f t="shared" ca="1" si="31"/>
        <v>53539</v>
      </c>
      <c r="F250" s="2">
        <f t="shared" si="32"/>
        <v>3235.6682735534373</v>
      </c>
      <c r="G250" s="3">
        <f t="shared" si="33"/>
        <v>2966.5510248801215</v>
      </c>
      <c r="H250" s="2">
        <f t="shared" si="34"/>
        <v>6202.2192984335588</v>
      </c>
      <c r="I250" s="3">
        <f t="shared" si="35"/>
        <v>524151.18059402326</v>
      </c>
      <c r="K250" s="39">
        <f t="shared" si="40"/>
        <v>432098.81940597668</v>
      </c>
      <c r="L250" s="39">
        <f t="shared" si="40"/>
        <v>1087444.9087102453</v>
      </c>
      <c r="M250" s="39">
        <f t="shared" si="40"/>
        <v>1519543.7281162152</v>
      </c>
    </row>
    <row r="251" spans="4:13" x14ac:dyDescent="0.45">
      <c r="D251">
        <f t="shared" si="36"/>
        <v>246</v>
      </c>
      <c r="E251" s="38">
        <f t="shared" ca="1" si="31"/>
        <v>53570</v>
      </c>
      <c r="F251" s="2">
        <f t="shared" si="32"/>
        <v>3253.8689075921757</v>
      </c>
      <c r="G251" s="3">
        <f t="shared" si="33"/>
        <v>2948.3503908413832</v>
      </c>
      <c r="H251" s="2">
        <f t="shared" si="34"/>
        <v>6202.2192984335588</v>
      </c>
      <c r="I251" s="3">
        <f t="shared" si="35"/>
        <v>520897.31168643106</v>
      </c>
      <c r="K251" s="39">
        <f t="shared" si="40"/>
        <v>435352.68831356888</v>
      </c>
      <c r="L251" s="39">
        <f t="shared" si="40"/>
        <v>1090393.2591010868</v>
      </c>
      <c r="M251" s="39">
        <f t="shared" si="40"/>
        <v>1525745.9474146487</v>
      </c>
    </row>
    <row r="252" spans="4:13" x14ac:dyDescent="0.45">
      <c r="D252">
        <f t="shared" si="36"/>
        <v>247</v>
      </c>
      <c r="E252" s="38">
        <f t="shared" ca="1" si="31"/>
        <v>53600</v>
      </c>
      <c r="F252" s="2">
        <f t="shared" si="32"/>
        <v>3272.1719201973824</v>
      </c>
      <c r="G252" s="3">
        <f t="shared" si="33"/>
        <v>2930.0473782361764</v>
      </c>
      <c r="H252" s="2">
        <f t="shared" si="34"/>
        <v>6202.2192984335588</v>
      </c>
      <c r="I252" s="3">
        <f t="shared" si="35"/>
        <v>517625.13976623368</v>
      </c>
      <c r="K252" s="39">
        <f t="shared" si="40"/>
        <v>438624.86023376626</v>
      </c>
      <c r="L252" s="39">
        <f t="shared" si="40"/>
        <v>1093323.306479323</v>
      </c>
      <c r="M252" s="39">
        <f t="shared" si="40"/>
        <v>1531948.1667130822</v>
      </c>
    </row>
    <row r="253" spans="4:13" x14ac:dyDescent="0.45">
      <c r="D253">
        <f t="shared" si="36"/>
        <v>248</v>
      </c>
      <c r="E253" s="38">
        <f t="shared" ca="1" si="31"/>
        <v>53631</v>
      </c>
      <c r="F253" s="2">
        <f t="shared" si="32"/>
        <v>3290.5778872484921</v>
      </c>
      <c r="G253" s="3">
        <f t="shared" si="33"/>
        <v>2911.6414111850668</v>
      </c>
      <c r="H253" s="2">
        <f t="shared" si="34"/>
        <v>6202.2192984335588</v>
      </c>
      <c r="I253" s="3">
        <f t="shared" si="35"/>
        <v>514334.5618789852</v>
      </c>
      <c r="K253" s="39">
        <f t="shared" si="40"/>
        <v>441915.43812101474</v>
      </c>
      <c r="L253" s="39">
        <f t="shared" si="40"/>
        <v>1096234.947890508</v>
      </c>
      <c r="M253" s="39">
        <f t="shared" si="40"/>
        <v>1538150.3860115157</v>
      </c>
    </row>
    <row r="254" spans="4:13" x14ac:dyDescent="0.45">
      <c r="D254">
        <f t="shared" si="36"/>
        <v>249</v>
      </c>
      <c r="E254" s="38">
        <f t="shared" ca="1" si="31"/>
        <v>53661</v>
      </c>
      <c r="F254" s="2">
        <f t="shared" si="32"/>
        <v>3309.0873878642647</v>
      </c>
      <c r="G254" s="3">
        <f t="shared" si="33"/>
        <v>2893.1319105692942</v>
      </c>
      <c r="H254" s="2">
        <f t="shared" si="34"/>
        <v>6202.2192984335588</v>
      </c>
      <c r="I254" s="3">
        <f t="shared" si="35"/>
        <v>511025.47449112096</v>
      </c>
      <c r="K254" s="39">
        <f t="shared" si="40"/>
        <v>445224.52550887899</v>
      </c>
      <c r="L254" s="39">
        <f t="shared" si="40"/>
        <v>1099128.0798010773</v>
      </c>
      <c r="M254" s="39">
        <f t="shared" si="40"/>
        <v>1544352.6053099493</v>
      </c>
    </row>
    <row r="255" spans="4:13" x14ac:dyDescent="0.45">
      <c r="D255">
        <f t="shared" si="36"/>
        <v>250</v>
      </c>
      <c r="E255" s="38">
        <f t="shared" ca="1" si="31"/>
        <v>53692</v>
      </c>
      <c r="F255" s="2">
        <f t="shared" si="32"/>
        <v>3327.701004421001</v>
      </c>
      <c r="G255" s="3">
        <f t="shared" si="33"/>
        <v>2874.5182940125578</v>
      </c>
      <c r="H255" s="2">
        <f t="shared" si="34"/>
        <v>6202.2192984335588</v>
      </c>
      <c r="I255" s="3">
        <f t="shared" si="35"/>
        <v>507697.77348669997</v>
      </c>
      <c r="K255" s="39">
        <f t="shared" si="40"/>
        <v>448552.22651329997</v>
      </c>
      <c r="L255" s="39">
        <f t="shared" si="40"/>
        <v>1102002.5980950899</v>
      </c>
      <c r="M255" s="39">
        <f t="shared" si="40"/>
        <v>1550554.8246083828</v>
      </c>
    </row>
    <row r="256" spans="4:13" x14ac:dyDescent="0.45">
      <c r="D256">
        <f t="shared" si="36"/>
        <v>251</v>
      </c>
      <c r="E256" s="38">
        <f t="shared" ca="1" si="31"/>
        <v>53723</v>
      </c>
      <c r="F256" s="2">
        <f t="shared" si="32"/>
        <v>3346.4193225708691</v>
      </c>
      <c r="G256" s="3">
        <f t="shared" si="33"/>
        <v>2855.7999758626897</v>
      </c>
      <c r="H256" s="2">
        <f t="shared" si="34"/>
        <v>6202.2192984335588</v>
      </c>
      <c r="I256" s="3">
        <f t="shared" si="35"/>
        <v>504351.35416412912</v>
      </c>
      <c r="K256" s="39">
        <f t="shared" si="40"/>
        <v>451898.64583587082</v>
      </c>
      <c r="L256" s="39">
        <f t="shared" si="40"/>
        <v>1104858.3980709526</v>
      </c>
      <c r="M256" s="39">
        <f t="shared" si="40"/>
        <v>1556757.0439068163</v>
      </c>
    </row>
    <row r="257" spans="4:13" x14ac:dyDescent="0.45">
      <c r="D257">
        <f t="shared" si="36"/>
        <v>252</v>
      </c>
      <c r="E257" s="38">
        <f t="shared" ca="1" si="31"/>
        <v>53751</v>
      </c>
      <c r="F257" s="2">
        <f t="shared" si="32"/>
        <v>3365.2429312603308</v>
      </c>
      <c r="G257" s="3">
        <f t="shared" si="33"/>
        <v>2836.976367173228</v>
      </c>
      <c r="H257" s="2">
        <f t="shared" si="34"/>
        <v>6202.2192984335588</v>
      </c>
      <c r="I257" s="3">
        <f t="shared" si="35"/>
        <v>500986.1112328688</v>
      </c>
      <c r="K257" s="39">
        <f t="shared" si="40"/>
        <v>455263.88876713114</v>
      </c>
      <c r="L257" s="39">
        <f t="shared" si="40"/>
        <v>1107695.3744381259</v>
      </c>
      <c r="M257" s="39">
        <f t="shared" si="40"/>
        <v>1562959.2632052498</v>
      </c>
    </row>
    <row r="258" spans="4:13" x14ac:dyDescent="0.45">
      <c r="D258">
        <f t="shared" si="36"/>
        <v>253</v>
      </c>
      <c r="E258" s="38">
        <f t="shared" ca="1" si="31"/>
        <v>53782</v>
      </c>
      <c r="F258" s="2">
        <f t="shared" si="32"/>
        <v>3384.1724227486702</v>
      </c>
      <c r="G258" s="3">
        <f t="shared" si="33"/>
        <v>2818.0468756848886</v>
      </c>
      <c r="H258" s="2">
        <f t="shared" si="34"/>
        <v>6202.2192984335588</v>
      </c>
      <c r="I258" s="3">
        <f t="shared" si="35"/>
        <v>497601.9388101201</v>
      </c>
      <c r="K258" s="39">
        <f t="shared" si="40"/>
        <v>458648.06118987978</v>
      </c>
      <c r="L258" s="39">
        <f t="shared" si="40"/>
        <v>1110513.4213138109</v>
      </c>
      <c r="M258" s="39">
        <f t="shared" si="40"/>
        <v>1569161.4825036833</v>
      </c>
    </row>
    <row r="259" spans="4:13" x14ac:dyDescent="0.45">
      <c r="D259">
        <f t="shared" si="36"/>
        <v>254</v>
      </c>
      <c r="E259" s="38">
        <f t="shared" ca="1" si="31"/>
        <v>53812</v>
      </c>
      <c r="F259" s="2">
        <f t="shared" si="32"/>
        <v>3403.2083926266314</v>
      </c>
      <c r="G259" s="3">
        <f t="shared" si="33"/>
        <v>2799.0109058069274</v>
      </c>
      <c r="H259" s="2">
        <f t="shared" si="34"/>
        <v>6202.2192984335588</v>
      </c>
      <c r="I259" s="3">
        <f t="shared" si="35"/>
        <v>494198.7304174935</v>
      </c>
      <c r="K259" s="39">
        <f t="shared" si="40"/>
        <v>462051.26958250639</v>
      </c>
      <c r="L259" s="39">
        <f t="shared" si="40"/>
        <v>1113312.4322196178</v>
      </c>
      <c r="M259" s="39">
        <f t="shared" si="40"/>
        <v>1575363.7018021168</v>
      </c>
    </row>
    <row r="260" spans="4:13" x14ac:dyDescent="0.45">
      <c r="D260">
        <f t="shared" si="36"/>
        <v>255</v>
      </c>
      <c r="E260" s="38">
        <f t="shared" ca="1" si="31"/>
        <v>53843</v>
      </c>
      <c r="F260" s="2">
        <f t="shared" si="32"/>
        <v>3422.3514398351558</v>
      </c>
      <c r="G260" s="3">
        <f t="shared" si="33"/>
        <v>2779.867858598403</v>
      </c>
      <c r="H260" s="2">
        <f t="shared" si="34"/>
        <v>6202.2192984335588</v>
      </c>
      <c r="I260" s="3">
        <f t="shared" si="35"/>
        <v>490776.37897765834</v>
      </c>
      <c r="K260" s="39">
        <f t="shared" si="40"/>
        <v>465473.62102234154</v>
      </c>
      <c r="L260" s="39">
        <f t="shared" si="40"/>
        <v>1116092.3000782162</v>
      </c>
      <c r="M260" s="39">
        <f t="shared" si="40"/>
        <v>1581565.9211005503</v>
      </c>
    </row>
    <row r="261" spans="4:13" x14ac:dyDescent="0.45">
      <c r="D261">
        <f t="shared" si="36"/>
        <v>256</v>
      </c>
      <c r="E261" s="38">
        <f t="shared" ca="1" si="31"/>
        <v>53873</v>
      </c>
      <c r="F261" s="2">
        <f t="shared" si="32"/>
        <v>3441.6021666842289</v>
      </c>
      <c r="G261" s="3">
        <f t="shared" si="33"/>
        <v>2760.6171317493299</v>
      </c>
      <c r="H261" s="2">
        <f t="shared" si="34"/>
        <v>6202.2192984335588</v>
      </c>
      <c r="I261" s="3">
        <f t="shared" si="35"/>
        <v>487334.77681097412</v>
      </c>
      <c r="K261" s="39">
        <f t="shared" si="40"/>
        <v>468915.22318902577</v>
      </c>
      <c r="L261" s="39">
        <f t="shared" si="40"/>
        <v>1118852.9172099656</v>
      </c>
      <c r="M261" s="39">
        <f t="shared" si="40"/>
        <v>1587768.1403989838</v>
      </c>
    </row>
    <row r="262" spans="4:13" x14ac:dyDescent="0.45">
      <c r="D262">
        <f t="shared" si="36"/>
        <v>257</v>
      </c>
      <c r="E262" s="38">
        <f t="shared" ca="1" si="31"/>
        <v>53904</v>
      </c>
      <c r="F262" s="2">
        <f t="shared" si="32"/>
        <v>3460.9611788718275</v>
      </c>
      <c r="G262" s="3">
        <f t="shared" si="33"/>
        <v>2741.2581195617313</v>
      </c>
      <c r="H262" s="2">
        <f t="shared" si="34"/>
        <v>6202.2192984335588</v>
      </c>
      <c r="I262" s="3">
        <f t="shared" si="35"/>
        <v>483873.81563210231</v>
      </c>
      <c r="K262" s="39">
        <f t="shared" si="40"/>
        <v>472376.18436789757</v>
      </c>
      <c r="L262" s="39">
        <f t="shared" si="40"/>
        <v>1121594.1753295274</v>
      </c>
      <c r="M262" s="39">
        <f t="shared" si="40"/>
        <v>1593970.3596974174</v>
      </c>
    </row>
    <row r="263" spans="4:13" x14ac:dyDescent="0.45">
      <c r="D263">
        <f t="shared" si="36"/>
        <v>258</v>
      </c>
      <c r="E263" s="38">
        <f t="shared" ref="E263:E326" ca="1" si="41">EOMONTH(E262,1)</f>
        <v>53935</v>
      </c>
      <c r="F263" s="2">
        <f t="shared" ref="F263:F326" si="42">PPMT($B$4/12,D263,$B$5,-$B$3,0)</f>
        <v>3480.4290855029813</v>
      </c>
      <c r="G263" s="3">
        <f t="shared" ref="G263:G326" si="43">H263-F263</f>
        <v>2721.7902129305776</v>
      </c>
      <c r="H263" s="2">
        <f t="shared" ref="H263:H326" si="44">$B$6</f>
        <v>6202.2192984335588</v>
      </c>
      <c r="I263" s="3">
        <f t="shared" ref="I263:I326" si="45">I262-F263</f>
        <v>480393.38654659933</v>
      </c>
      <c r="K263" s="39">
        <f t="shared" si="40"/>
        <v>475856.61345340055</v>
      </c>
      <c r="L263" s="39">
        <f t="shared" si="40"/>
        <v>1124315.965542458</v>
      </c>
      <c r="M263" s="39">
        <f t="shared" si="40"/>
        <v>1600172.5789958509</v>
      </c>
    </row>
    <row r="264" spans="4:13" x14ac:dyDescent="0.45">
      <c r="D264">
        <f t="shared" ref="D264:D327" si="46">D263+1</f>
        <v>259</v>
      </c>
      <c r="E264" s="38">
        <f t="shared" ca="1" si="41"/>
        <v>53965</v>
      </c>
      <c r="F264" s="2">
        <f t="shared" si="42"/>
        <v>3500.0064991089362</v>
      </c>
      <c r="G264" s="3">
        <f t="shared" si="43"/>
        <v>2702.2127993246227</v>
      </c>
      <c r="H264" s="2">
        <f t="shared" si="44"/>
        <v>6202.2192984335588</v>
      </c>
      <c r="I264" s="3">
        <f t="shared" si="45"/>
        <v>476893.38004749041</v>
      </c>
      <c r="K264" s="39">
        <f t="shared" ref="K264:M279" si="47">K263+F264</f>
        <v>479356.61995250947</v>
      </c>
      <c r="L264" s="39">
        <f t="shared" si="47"/>
        <v>1127018.1783417827</v>
      </c>
      <c r="M264" s="39">
        <f t="shared" si="47"/>
        <v>1606374.7982942844</v>
      </c>
    </row>
    <row r="265" spans="4:13" x14ac:dyDescent="0.45">
      <c r="D265">
        <f t="shared" si="46"/>
        <v>260</v>
      </c>
      <c r="E265" s="38">
        <f t="shared" ca="1" si="41"/>
        <v>53996</v>
      </c>
      <c r="F265" s="2">
        <f t="shared" si="42"/>
        <v>3519.6940356664236</v>
      </c>
      <c r="G265" s="3">
        <f t="shared" si="43"/>
        <v>2682.5252627671352</v>
      </c>
      <c r="H265" s="2">
        <f t="shared" si="44"/>
        <v>6202.2192984335588</v>
      </c>
      <c r="I265" s="3">
        <f t="shared" si="45"/>
        <v>473373.686011824</v>
      </c>
      <c r="K265" s="39">
        <f t="shared" si="47"/>
        <v>482876.31398817588</v>
      </c>
      <c r="L265" s="39">
        <f t="shared" si="47"/>
        <v>1129700.7036045499</v>
      </c>
      <c r="M265" s="39">
        <f t="shared" si="47"/>
        <v>1612577.0175927179</v>
      </c>
    </row>
    <row r="266" spans="4:13" x14ac:dyDescent="0.45">
      <c r="D266">
        <f t="shared" si="46"/>
        <v>261</v>
      </c>
      <c r="E266" s="38">
        <f t="shared" ca="1" si="41"/>
        <v>54026</v>
      </c>
      <c r="F266" s="2">
        <f t="shared" si="42"/>
        <v>3539.4923146170472</v>
      </c>
      <c r="G266" s="3">
        <f t="shared" si="43"/>
        <v>2662.7269838165116</v>
      </c>
      <c r="H266" s="2">
        <f t="shared" si="44"/>
        <v>6202.2192984335588</v>
      </c>
      <c r="I266" s="3">
        <f t="shared" si="45"/>
        <v>469834.19369720697</v>
      </c>
      <c r="K266" s="39">
        <f t="shared" si="47"/>
        <v>486415.80630279292</v>
      </c>
      <c r="L266" s="39">
        <f t="shared" si="47"/>
        <v>1132363.4305883665</v>
      </c>
      <c r="M266" s="39">
        <f t="shared" si="47"/>
        <v>1618779.2368911514</v>
      </c>
    </row>
    <row r="267" spans="4:13" x14ac:dyDescent="0.45">
      <c r="D267">
        <f t="shared" si="46"/>
        <v>262</v>
      </c>
      <c r="E267" s="38">
        <f t="shared" ca="1" si="41"/>
        <v>54057</v>
      </c>
      <c r="F267" s="2">
        <f t="shared" si="42"/>
        <v>3559.4019588867686</v>
      </c>
      <c r="G267" s="3">
        <f t="shared" si="43"/>
        <v>2642.8173395467902</v>
      </c>
      <c r="H267" s="2">
        <f t="shared" si="44"/>
        <v>6202.2192984335588</v>
      </c>
      <c r="I267" s="3">
        <f t="shared" si="45"/>
        <v>466274.7917383202</v>
      </c>
      <c r="K267" s="39">
        <f t="shared" si="47"/>
        <v>489975.20826167968</v>
      </c>
      <c r="L267" s="39">
        <f t="shared" si="47"/>
        <v>1135006.2479279132</v>
      </c>
      <c r="M267" s="39">
        <f t="shared" si="47"/>
        <v>1624981.4561895849</v>
      </c>
    </row>
    <row r="268" spans="4:13" x14ac:dyDescent="0.45">
      <c r="D268">
        <f t="shared" si="46"/>
        <v>263</v>
      </c>
      <c r="E268" s="38">
        <f t="shared" ca="1" si="41"/>
        <v>54088</v>
      </c>
      <c r="F268" s="2">
        <f t="shared" si="42"/>
        <v>3579.423594905506</v>
      </c>
      <c r="G268" s="3">
        <f t="shared" si="43"/>
        <v>2622.7957035280529</v>
      </c>
      <c r="H268" s="2">
        <f t="shared" si="44"/>
        <v>6202.2192984335588</v>
      </c>
      <c r="I268" s="3">
        <f t="shared" si="45"/>
        <v>462695.36814341467</v>
      </c>
      <c r="K268" s="39">
        <f t="shared" si="47"/>
        <v>493554.63185658521</v>
      </c>
      <c r="L268" s="39">
        <f t="shared" si="47"/>
        <v>1137629.0436314412</v>
      </c>
      <c r="M268" s="39">
        <f t="shared" si="47"/>
        <v>1631183.6754880184</v>
      </c>
    </row>
    <row r="269" spans="4:13" x14ac:dyDescent="0.45">
      <c r="D269">
        <f t="shared" si="46"/>
        <v>264</v>
      </c>
      <c r="E269" s="38">
        <f t="shared" ca="1" si="41"/>
        <v>54117</v>
      </c>
      <c r="F269" s="2">
        <f t="shared" si="42"/>
        <v>3599.5578526268496</v>
      </c>
      <c r="G269" s="3">
        <f t="shared" si="43"/>
        <v>2602.6614458067093</v>
      </c>
      <c r="H269" s="2">
        <f t="shared" si="44"/>
        <v>6202.2192984335588</v>
      </c>
      <c r="I269" s="3">
        <f t="shared" si="45"/>
        <v>459095.81029078783</v>
      </c>
      <c r="K269" s="39">
        <f t="shared" si="47"/>
        <v>497154.18970921205</v>
      </c>
      <c r="L269" s="39">
        <f t="shared" si="47"/>
        <v>1140231.7050772479</v>
      </c>
      <c r="M269" s="39">
        <f t="shared" si="47"/>
        <v>1637385.8947864519</v>
      </c>
    </row>
    <row r="270" spans="4:13" x14ac:dyDescent="0.45">
      <c r="D270">
        <f t="shared" si="46"/>
        <v>265</v>
      </c>
      <c r="E270" s="38">
        <f t="shared" ca="1" si="41"/>
        <v>54148</v>
      </c>
      <c r="F270" s="2">
        <f t="shared" si="42"/>
        <v>3619.8053655478752</v>
      </c>
      <c r="G270" s="3">
        <f t="shared" si="43"/>
        <v>2582.4139328856836</v>
      </c>
      <c r="H270" s="2">
        <f t="shared" si="44"/>
        <v>6202.2192984335588</v>
      </c>
      <c r="I270" s="3">
        <f t="shared" si="45"/>
        <v>455476.00492523995</v>
      </c>
      <c r="K270" s="39">
        <f t="shared" si="47"/>
        <v>500773.99507475994</v>
      </c>
      <c r="L270" s="39">
        <f t="shared" si="47"/>
        <v>1142814.1190101337</v>
      </c>
      <c r="M270" s="39">
        <f t="shared" si="47"/>
        <v>1643588.1140848855</v>
      </c>
    </row>
    <row r="271" spans="4:13" x14ac:dyDescent="0.45">
      <c r="D271">
        <f t="shared" si="46"/>
        <v>266</v>
      </c>
      <c r="E271" s="38">
        <f t="shared" ca="1" si="41"/>
        <v>54178</v>
      </c>
      <c r="F271" s="2">
        <f t="shared" si="42"/>
        <v>3640.1667707290821</v>
      </c>
      <c r="G271" s="3">
        <f t="shared" si="43"/>
        <v>2562.0525277044767</v>
      </c>
      <c r="H271" s="2">
        <f t="shared" si="44"/>
        <v>6202.2192984335588</v>
      </c>
      <c r="I271" s="3">
        <f t="shared" si="45"/>
        <v>451835.83815451089</v>
      </c>
      <c r="K271" s="39">
        <f t="shared" si="47"/>
        <v>504414.161845489</v>
      </c>
      <c r="L271" s="39">
        <f t="shared" si="47"/>
        <v>1145376.1715378382</v>
      </c>
      <c r="M271" s="39">
        <f t="shared" si="47"/>
        <v>1649790.333383319</v>
      </c>
    </row>
    <row r="272" spans="4:13" x14ac:dyDescent="0.45">
      <c r="D272">
        <f t="shared" si="46"/>
        <v>267</v>
      </c>
      <c r="E272" s="38">
        <f t="shared" ca="1" si="41"/>
        <v>54209</v>
      </c>
      <c r="F272" s="2">
        <f t="shared" si="42"/>
        <v>3660.6427088144342</v>
      </c>
      <c r="G272" s="3">
        <f t="shared" si="43"/>
        <v>2541.5765896191247</v>
      </c>
      <c r="H272" s="2">
        <f t="shared" si="44"/>
        <v>6202.2192984335588</v>
      </c>
      <c r="I272" s="3">
        <f t="shared" si="45"/>
        <v>448175.19544569647</v>
      </c>
      <c r="K272" s="39">
        <f t="shared" si="47"/>
        <v>508074.80455430341</v>
      </c>
      <c r="L272" s="39">
        <f t="shared" si="47"/>
        <v>1147917.7481274572</v>
      </c>
      <c r="M272" s="39">
        <f t="shared" si="47"/>
        <v>1655992.5526817525</v>
      </c>
    </row>
    <row r="273" spans="4:13" x14ac:dyDescent="0.45">
      <c r="D273">
        <f t="shared" si="46"/>
        <v>268</v>
      </c>
      <c r="E273" s="38">
        <f t="shared" ca="1" si="41"/>
        <v>54239</v>
      </c>
      <c r="F273" s="2">
        <f t="shared" si="42"/>
        <v>3681.2338240515151</v>
      </c>
      <c r="G273" s="3">
        <f t="shared" si="43"/>
        <v>2520.9854743820438</v>
      </c>
      <c r="H273" s="2">
        <f t="shared" si="44"/>
        <v>6202.2192984335588</v>
      </c>
      <c r="I273" s="3">
        <f t="shared" si="45"/>
        <v>444493.96162164496</v>
      </c>
      <c r="K273" s="39">
        <f t="shared" si="47"/>
        <v>511756.03837835492</v>
      </c>
      <c r="L273" s="39">
        <f t="shared" si="47"/>
        <v>1150438.7336018393</v>
      </c>
      <c r="M273" s="39">
        <f t="shared" si="47"/>
        <v>1662194.771980186</v>
      </c>
    </row>
    <row r="274" spans="4:13" x14ac:dyDescent="0.45">
      <c r="D274">
        <f t="shared" si="46"/>
        <v>269</v>
      </c>
      <c r="E274" s="38">
        <f t="shared" ca="1" si="41"/>
        <v>54270</v>
      </c>
      <c r="F274" s="2">
        <f t="shared" si="42"/>
        <v>3701.9407643118052</v>
      </c>
      <c r="G274" s="3">
        <f t="shared" si="43"/>
        <v>2500.2785341217536</v>
      </c>
      <c r="H274" s="2">
        <f t="shared" si="44"/>
        <v>6202.2192984335588</v>
      </c>
      <c r="I274" s="3">
        <f t="shared" si="45"/>
        <v>440792.02085733315</v>
      </c>
      <c r="K274" s="39">
        <f t="shared" si="47"/>
        <v>515457.97914266674</v>
      </c>
      <c r="L274" s="39">
        <f t="shared" si="47"/>
        <v>1152939.0121359611</v>
      </c>
      <c r="M274" s="39">
        <f t="shared" si="47"/>
        <v>1668396.9912786195</v>
      </c>
    </row>
    <row r="275" spans="4:13" x14ac:dyDescent="0.45">
      <c r="D275">
        <f t="shared" si="46"/>
        <v>270</v>
      </c>
      <c r="E275" s="38">
        <f t="shared" ca="1" si="41"/>
        <v>54301</v>
      </c>
      <c r="F275" s="2">
        <f t="shared" si="42"/>
        <v>3722.7641811110584</v>
      </c>
      <c r="G275" s="3">
        <f t="shared" si="43"/>
        <v>2479.4551173225004</v>
      </c>
      <c r="H275" s="2">
        <f t="shared" si="44"/>
        <v>6202.2192984335588</v>
      </c>
      <c r="I275" s="3">
        <f t="shared" si="45"/>
        <v>437069.25667622208</v>
      </c>
      <c r="K275" s="39">
        <f t="shared" si="47"/>
        <v>519180.7433237778</v>
      </c>
      <c r="L275" s="39">
        <f t="shared" si="47"/>
        <v>1155418.4672532836</v>
      </c>
      <c r="M275" s="39">
        <f t="shared" si="47"/>
        <v>1674599.210577053</v>
      </c>
    </row>
    <row r="276" spans="4:13" x14ac:dyDescent="0.45">
      <c r="D276">
        <f t="shared" si="46"/>
        <v>271</v>
      </c>
      <c r="E276" s="38">
        <f t="shared" ca="1" si="41"/>
        <v>54331</v>
      </c>
      <c r="F276" s="2">
        <f t="shared" si="42"/>
        <v>3743.7047296298083</v>
      </c>
      <c r="G276" s="3">
        <f t="shared" si="43"/>
        <v>2458.5145688037505</v>
      </c>
      <c r="H276" s="2">
        <f t="shared" si="44"/>
        <v>6202.2192984335588</v>
      </c>
      <c r="I276" s="3">
        <f t="shared" si="45"/>
        <v>433325.55194659228</v>
      </c>
      <c r="K276" s="39">
        <f t="shared" si="47"/>
        <v>522924.4480534076</v>
      </c>
      <c r="L276" s="39">
        <f t="shared" si="47"/>
        <v>1157876.9818220874</v>
      </c>
      <c r="M276" s="39">
        <f t="shared" si="47"/>
        <v>1680801.4298754865</v>
      </c>
    </row>
    <row r="277" spans="4:13" x14ac:dyDescent="0.45">
      <c r="D277">
        <f t="shared" si="46"/>
        <v>272</v>
      </c>
      <c r="E277" s="38">
        <f t="shared" ca="1" si="41"/>
        <v>54362</v>
      </c>
      <c r="F277" s="2">
        <f t="shared" si="42"/>
        <v>3764.7630687339752</v>
      </c>
      <c r="G277" s="3">
        <f t="shared" si="43"/>
        <v>2437.4562296995837</v>
      </c>
      <c r="H277" s="2">
        <f t="shared" si="44"/>
        <v>6202.2192984335588</v>
      </c>
      <c r="I277" s="3">
        <f t="shared" si="45"/>
        <v>429560.78887785831</v>
      </c>
      <c r="K277" s="39">
        <f t="shared" si="47"/>
        <v>526689.21112214157</v>
      </c>
      <c r="L277" s="39">
        <f t="shared" si="47"/>
        <v>1160314.438051787</v>
      </c>
      <c r="M277" s="39">
        <f t="shared" si="47"/>
        <v>1687003.64917392</v>
      </c>
    </row>
    <row r="278" spans="4:13" x14ac:dyDescent="0.45">
      <c r="D278">
        <f t="shared" si="46"/>
        <v>273</v>
      </c>
      <c r="E278" s="38">
        <f t="shared" ca="1" si="41"/>
        <v>54392</v>
      </c>
      <c r="F278" s="2">
        <f t="shared" si="42"/>
        <v>3785.9398609956047</v>
      </c>
      <c r="G278" s="3">
        <f t="shared" si="43"/>
        <v>2416.2794374379541</v>
      </c>
      <c r="H278" s="2">
        <f t="shared" si="44"/>
        <v>6202.2192984335588</v>
      </c>
      <c r="I278" s="3">
        <f t="shared" si="45"/>
        <v>425774.84901686269</v>
      </c>
      <c r="K278" s="39">
        <f t="shared" si="47"/>
        <v>530475.15098313719</v>
      </c>
      <c r="L278" s="39">
        <f t="shared" si="47"/>
        <v>1162730.7174892249</v>
      </c>
      <c r="M278" s="39">
        <f t="shared" si="47"/>
        <v>1693205.8684723536</v>
      </c>
    </row>
    <row r="279" spans="4:13" x14ac:dyDescent="0.45">
      <c r="D279">
        <f t="shared" si="46"/>
        <v>274</v>
      </c>
      <c r="E279" s="38">
        <f t="shared" ca="1" si="41"/>
        <v>54423</v>
      </c>
      <c r="F279" s="2">
        <f t="shared" si="42"/>
        <v>3807.235772713705</v>
      </c>
      <c r="G279" s="3">
        <f t="shared" si="43"/>
        <v>2394.9835257198538</v>
      </c>
      <c r="H279" s="2">
        <f t="shared" si="44"/>
        <v>6202.2192984335588</v>
      </c>
      <c r="I279" s="3">
        <f t="shared" si="45"/>
        <v>421967.61324414896</v>
      </c>
      <c r="K279" s="39">
        <f t="shared" si="47"/>
        <v>534282.38675585086</v>
      </c>
      <c r="L279" s="39">
        <f t="shared" si="47"/>
        <v>1165125.7010149448</v>
      </c>
      <c r="M279" s="39">
        <f t="shared" si="47"/>
        <v>1699408.0877707871</v>
      </c>
    </row>
    <row r="280" spans="4:13" x14ac:dyDescent="0.45">
      <c r="D280">
        <f t="shared" si="46"/>
        <v>275</v>
      </c>
      <c r="E280" s="38">
        <f t="shared" ca="1" si="41"/>
        <v>54454</v>
      </c>
      <c r="F280" s="2">
        <f t="shared" si="42"/>
        <v>3828.6514739352192</v>
      </c>
      <c r="G280" s="3">
        <f t="shared" si="43"/>
        <v>2373.5678244983396</v>
      </c>
      <c r="H280" s="2">
        <f t="shared" si="44"/>
        <v>6202.2192984335588</v>
      </c>
      <c r="I280" s="3">
        <f t="shared" si="45"/>
        <v>418138.96177021373</v>
      </c>
      <c r="K280" s="39">
        <f t="shared" ref="K280:M295" si="48">K279+F280</f>
        <v>538111.03822978609</v>
      </c>
      <c r="L280" s="39">
        <f t="shared" si="48"/>
        <v>1167499.2688394431</v>
      </c>
      <c r="M280" s="39">
        <f t="shared" si="48"/>
        <v>1705610.3070692206</v>
      </c>
    </row>
    <row r="281" spans="4:13" x14ac:dyDescent="0.45">
      <c r="D281">
        <f t="shared" si="46"/>
        <v>276</v>
      </c>
      <c r="E281" s="38">
        <f t="shared" ca="1" si="41"/>
        <v>54482</v>
      </c>
      <c r="F281" s="2">
        <f t="shared" si="42"/>
        <v>3850.1876384761049</v>
      </c>
      <c r="G281" s="3">
        <f t="shared" si="43"/>
        <v>2352.0316599574539</v>
      </c>
      <c r="H281" s="2">
        <f t="shared" si="44"/>
        <v>6202.2192984335588</v>
      </c>
      <c r="I281" s="3">
        <f t="shared" si="45"/>
        <v>414288.77413173765</v>
      </c>
      <c r="K281" s="39">
        <f t="shared" si="48"/>
        <v>541961.22586826223</v>
      </c>
      <c r="L281" s="39">
        <f t="shared" si="48"/>
        <v>1169851.3004994006</v>
      </c>
      <c r="M281" s="39">
        <f t="shared" si="48"/>
        <v>1711812.5263676541</v>
      </c>
    </row>
    <row r="282" spans="4:13" x14ac:dyDescent="0.45">
      <c r="D282">
        <f t="shared" si="46"/>
        <v>277</v>
      </c>
      <c r="E282" s="38">
        <f t="shared" ca="1" si="41"/>
        <v>54513</v>
      </c>
      <c r="F282" s="2">
        <f t="shared" si="42"/>
        <v>3871.8449439425326</v>
      </c>
      <c r="G282" s="3">
        <f t="shared" si="43"/>
        <v>2330.3743544910262</v>
      </c>
      <c r="H282" s="2">
        <f t="shared" si="44"/>
        <v>6202.2192984335588</v>
      </c>
      <c r="I282" s="3">
        <f t="shared" si="45"/>
        <v>410416.92918779509</v>
      </c>
      <c r="K282" s="39">
        <f t="shared" si="48"/>
        <v>545833.07081220474</v>
      </c>
      <c r="L282" s="39">
        <f t="shared" si="48"/>
        <v>1172181.6748538916</v>
      </c>
      <c r="M282" s="39">
        <f t="shared" si="48"/>
        <v>1718014.7456660876</v>
      </c>
    </row>
    <row r="283" spans="4:13" x14ac:dyDescent="0.45">
      <c r="D283">
        <f t="shared" si="46"/>
        <v>278</v>
      </c>
      <c r="E283" s="38">
        <f t="shared" ca="1" si="41"/>
        <v>54543</v>
      </c>
      <c r="F283" s="2">
        <f t="shared" si="42"/>
        <v>3893.6240717522101</v>
      </c>
      <c r="G283" s="3">
        <f t="shared" si="43"/>
        <v>2308.5952266813488</v>
      </c>
      <c r="H283" s="2">
        <f t="shared" si="44"/>
        <v>6202.2192984335588</v>
      </c>
      <c r="I283" s="3">
        <f t="shared" si="45"/>
        <v>406523.3051160429</v>
      </c>
      <c r="K283" s="39">
        <f t="shared" si="48"/>
        <v>549726.69488395692</v>
      </c>
      <c r="L283" s="39">
        <f t="shared" si="48"/>
        <v>1174490.2700805729</v>
      </c>
      <c r="M283" s="39">
        <f t="shared" si="48"/>
        <v>1724216.9649645211</v>
      </c>
    </row>
    <row r="284" spans="4:13" x14ac:dyDescent="0.45">
      <c r="D284">
        <f t="shared" si="46"/>
        <v>279</v>
      </c>
      <c r="E284" s="38">
        <f t="shared" ca="1" si="41"/>
        <v>54574</v>
      </c>
      <c r="F284" s="2">
        <f t="shared" si="42"/>
        <v>3915.5257071558158</v>
      </c>
      <c r="G284" s="3">
        <f t="shared" si="43"/>
        <v>2286.6935912777431</v>
      </c>
      <c r="H284" s="2">
        <f t="shared" si="44"/>
        <v>6202.2192984335588</v>
      </c>
      <c r="I284" s="3">
        <f t="shared" si="45"/>
        <v>402607.77940888709</v>
      </c>
      <c r="K284" s="39">
        <f t="shared" si="48"/>
        <v>553642.22059111274</v>
      </c>
      <c r="L284" s="39">
        <f t="shared" si="48"/>
        <v>1176776.9636718507</v>
      </c>
      <c r="M284" s="39">
        <f t="shared" si="48"/>
        <v>1730419.1842629546</v>
      </c>
    </row>
    <row r="285" spans="4:13" x14ac:dyDescent="0.45">
      <c r="D285">
        <f t="shared" si="46"/>
        <v>280</v>
      </c>
      <c r="E285" s="38">
        <f t="shared" ca="1" si="41"/>
        <v>54604</v>
      </c>
      <c r="F285" s="2">
        <f t="shared" si="42"/>
        <v>3937.5505392585674</v>
      </c>
      <c r="G285" s="3">
        <f t="shared" si="43"/>
        <v>2264.6687591749915</v>
      </c>
      <c r="H285" s="2">
        <f t="shared" si="44"/>
        <v>6202.2192984335588</v>
      </c>
      <c r="I285" s="3">
        <f t="shared" si="45"/>
        <v>398670.22886962851</v>
      </c>
      <c r="K285" s="39">
        <f t="shared" si="48"/>
        <v>557579.77113037126</v>
      </c>
      <c r="L285" s="39">
        <f t="shared" si="48"/>
        <v>1179041.6324310256</v>
      </c>
      <c r="M285" s="39">
        <f t="shared" si="48"/>
        <v>1736621.4035613881</v>
      </c>
    </row>
    <row r="286" spans="4:13" x14ac:dyDescent="0.45">
      <c r="D286">
        <f t="shared" si="46"/>
        <v>281</v>
      </c>
      <c r="E286" s="38">
        <f t="shared" ca="1" si="41"/>
        <v>54635</v>
      </c>
      <c r="F286" s="2">
        <f t="shared" si="42"/>
        <v>3959.6992610418974</v>
      </c>
      <c r="G286" s="3">
        <f t="shared" si="43"/>
        <v>2242.5200373916614</v>
      </c>
      <c r="H286" s="2">
        <f t="shared" si="44"/>
        <v>6202.2192984335588</v>
      </c>
      <c r="I286" s="3">
        <f t="shared" si="45"/>
        <v>394710.52960858663</v>
      </c>
      <c r="K286" s="39">
        <f t="shared" si="48"/>
        <v>561539.4703914132</v>
      </c>
      <c r="L286" s="39">
        <f t="shared" si="48"/>
        <v>1181284.1524684173</v>
      </c>
      <c r="M286" s="39">
        <f t="shared" si="48"/>
        <v>1742823.6228598217</v>
      </c>
    </row>
    <row r="287" spans="4:13" x14ac:dyDescent="0.45">
      <c r="D287">
        <f t="shared" si="46"/>
        <v>282</v>
      </c>
      <c r="E287" s="38">
        <f t="shared" ca="1" si="41"/>
        <v>54666</v>
      </c>
      <c r="F287" s="2">
        <f t="shared" si="42"/>
        <v>3981.9725693852574</v>
      </c>
      <c r="G287" s="3">
        <f t="shared" si="43"/>
        <v>2220.2467290483014</v>
      </c>
      <c r="H287" s="2">
        <f t="shared" si="44"/>
        <v>6202.2192984335588</v>
      </c>
      <c r="I287" s="3">
        <f t="shared" si="45"/>
        <v>390728.55703920138</v>
      </c>
      <c r="K287" s="39">
        <f t="shared" si="48"/>
        <v>565521.44296079851</v>
      </c>
      <c r="L287" s="39">
        <f t="shared" si="48"/>
        <v>1183504.3991974655</v>
      </c>
      <c r="M287" s="39">
        <f t="shared" si="48"/>
        <v>1749025.8421582552</v>
      </c>
    </row>
    <row r="288" spans="4:13" x14ac:dyDescent="0.45">
      <c r="D288">
        <f t="shared" si="46"/>
        <v>283</v>
      </c>
      <c r="E288" s="38">
        <f t="shared" ca="1" si="41"/>
        <v>54696</v>
      </c>
      <c r="F288" s="2">
        <f t="shared" si="42"/>
        <v>4004.3711650880491</v>
      </c>
      <c r="G288" s="3">
        <f t="shared" si="43"/>
        <v>2197.8481333455097</v>
      </c>
      <c r="H288" s="2">
        <f t="shared" si="44"/>
        <v>6202.2192984335588</v>
      </c>
      <c r="I288" s="3">
        <f t="shared" si="45"/>
        <v>386724.18587411335</v>
      </c>
      <c r="K288" s="39">
        <f t="shared" si="48"/>
        <v>569525.81412588654</v>
      </c>
      <c r="L288" s="39">
        <f t="shared" si="48"/>
        <v>1185702.2473308111</v>
      </c>
      <c r="M288" s="39">
        <f t="shared" si="48"/>
        <v>1755228.0614566887</v>
      </c>
    </row>
    <row r="289" spans="4:13" x14ac:dyDescent="0.45">
      <c r="D289">
        <f t="shared" si="46"/>
        <v>284</v>
      </c>
      <c r="E289" s="38">
        <f t="shared" ca="1" si="41"/>
        <v>54727</v>
      </c>
      <c r="F289" s="2">
        <f t="shared" si="42"/>
        <v>4026.8957528916699</v>
      </c>
      <c r="G289" s="3">
        <f t="shared" si="43"/>
        <v>2175.323545541889</v>
      </c>
      <c r="H289" s="2">
        <f t="shared" si="44"/>
        <v>6202.2192984335588</v>
      </c>
      <c r="I289" s="3">
        <f t="shared" si="45"/>
        <v>382697.29012122168</v>
      </c>
      <c r="K289" s="39">
        <f t="shared" si="48"/>
        <v>573552.7098787782</v>
      </c>
      <c r="L289" s="39">
        <f t="shared" si="48"/>
        <v>1187877.570876353</v>
      </c>
      <c r="M289" s="39">
        <f t="shared" si="48"/>
        <v>1761430.2807551222</v>
      </c>
    </row>
    <row r="290" spans="4:13" x14ac:dyDescent="0.45">
      <c r="D290">
        <f t="shared" si="46"/>
        <v>285</v>
      </c>
      <c r="E290" s="38">
        <f t="shared" ca="1" si="41"/>
        <v>54757</v>
      </c>
      <c r="F290" s="2">
        <f t="shared" si="42"/>
        <v>4049.5470415016857</v>
      </c>
      <c r="G290" s="3">
        <f t="shared" si="43"/>
        <v>2152.6722569318731</v>
      </c>
      <c r="H290" s="2">
        <f t="shared" si="44"/>
        <v>6202.2192984335588</v>
      </c>
      <c r="I290" s="3">
        <f t="shared" si="45"/>
        <v>378647.74307972001</v>
      </c>
      <c r="K290" s="39">
        <f t="shared" si="48"/>
        <v>577602.25692027994</v>
      </c>
      <c r="L290" s="39">
        <f t="shared" si="48"/>
        <v>1190030.2431332849</v>
      </c>
      <c r="M290" s="39">
        <f t="shared" si="48"/>
        <v>1767632.5000535557</v>
      </c>
    </row>
    <row r="291" spans="4:13" x14ac:dyDescent="0.45">
      <c r="D291">
        <f t="shared" si="46"/>
        <v>286</v>
      </c>
      <c r="E291" s="38">
        <f t="shared" ca="1" si="41"/>
        <v>54788</v>
      </c>
      <c r="F291" s="2">
        <f t="shared" si="42"/>
        <v>4072.3257436101321</v>
      </c>
      <c r="G291" s="3">
        <f t="shared" si="43"/>
        <v>2129.8935548234267</v>
      </c>
      <c r="H291" s="2">
        <f t="shared" si="44"/>
        <v>6202.2192984335588</v>
      </c>
      <c r="I291" s="3">
        <f t="shared" si="45"/>
        <v>374575.41733610985</v>
      </c>
      <c r="K291" s="39">
        <f t="shared" si="48"/>
        <v>581674.58266389009</v>
      </c>
      <c r="L291" s="39">
        <f t="shared" si="48"/>
        <v>1192160.1366881083</v>
      </c>
      <c r="M291" s="39">
        <f t="shared" si="48"/>
        <v>1773834.7193519892</v>
      </c>
    </row>
    <row r="292" spans="4:13" x14ac:dyDescent="0.45">
      <c r="D292">
        <f t="shared" si="46"/>
        <v>287</v>
      </c>
      <c r="E292" s="38">
        <f t="shared" ca="1" si="41"/>
        <v>54819</v>
      </c>
      <c r="F292" s="2">
        <f t="shared" si="42"/>
        <v>4095.2325759179394</v>
      </c>
      <c r="G292" s="3">
        <f t="shared" si="43"/>
        <v>2106.9867225156195</v>
      </c>
      <c r="H292" s="2">
        <f t="shared" si="44"/>
        <v>6202.2192984335588</v>
      </c>
      <c r="I292" s="3">
        <f t="shared" si="45"/>
        <v>370480.18476019189</v>
      </c>
      <c r="K292" s="39">
        <f t="shared" si="48"/>
        <v>585769.81523980806</v>
      </c>
      <c r="L292" s="39">
        <f t="shared" si="48"/>
        <v>1194267.123410624</v>
      </c>
      <c r="M292" s="39">
        <f t="shared" si="48"/>
        <v>1780036.9386504227</v>
      </c>
    </row>
    <row r="293" spans="4:13" x14ac:dyDescent="0.45">
      <c r="D293">
        <f t="shared" si="46"/>
        <v>288</v>
      </c>
      <c r="E293" s="38">
        <f t="shared" ca="1" si="41"/>
        <v>54847</v>
      </c>
      <c r="F293" s="2">
        <f t="shared" si="42"/>
        <v>4118.2682591574776</v>
      </c>
      <c r="G293" s="3">
        <f t="shared" si="43"/>
        <v>2083.9510392760812</v>
      </c>
      <c r="H293" s="2">
        <f t="shared" si="44"/>
        <v>6202.2192984335588</v>
      </c>
      <c r="I293" s="3">
        <f t="shared" si="45"/>
        <v>366361.9165010344</v>
      </c>
      <c r="K293" s="39">
        <f t="shared" si="48"/>
        <v>589888.08349896548</v>
      </c>
      <c r="L293" s="39">
        <f t="shared" si="48"/>
        <v>1196351.0744499001</v>
      </c>
      <c r="M293" s="39">
        <f t="shared" si="48"/>
        <v>1786239.1579488562</v>
      </c>
    </row>
    <row r="294" spans="4:13" x14ac:dyDescent="0.45">
      <c r="D294">
        <f t="shared" si="46"/>
        <v>289</v>
      </c>
      <c r="E294" s="38">
        <f t="shared" ca="1" si="41"/>
        <v>54878</v>
      </c>
      <c r="F294" s="2">
        <f t="shared" si="42"/>
        <v>4141.4335181152392</v>
      </c>
      <c r="G294" s="3">
        <f t="shared" si="43"/>
        <v>2060.7857803183197</v>
      </c>
      <c r="H294" s="2">
        <f t="shared" si="44"/>
        <v>6202.2192984335588</v>
      </c>
      <c r="I294" s="3">
        <f t="shared" si="45"/>
        <v>362220.48298291914</v>
      </c>
      <c r="K294" s="39">
        <f t="shared" si="48"/>
        <v>594029.51701708068</v>
      </c>
      <c r="L294" s="39">
        <f t="shared" si="48"/>
        <v>1198411.8602302184</v>
      </c>
      <c r="M294" s="39">
        <f t="shared" si="48"/>
        <v>1792441.3772472898</v>
      </c>
    </row>
    <row r="295" spans="4:13" x14ac:dyDescent="0.45">
      <c r="D295">
        <f t="shared" si="46"/>
        <v>290</v>
      </c>
      <c r="E295" s="38">
        <f t="shared" ca="1" si="41"/>
        <v>54908</v>
      </c>
      <c r="F295" s="2">
        <f t="shared" si="42"/>
        <v>4164.7290816546374</v>
      </c>
      <c r="G295" s="3">
        <f t="shared" si="43"/>
        <v>2037.4902167789214</v>
      </c>
      <c r="H295" s="2">
        <f t="shared" si="44"/>
        <v>6202.2192984335588</v>
      </c>
      <c r="I295" s="3">
        <f t="shared" si="45"/>
        <v>358055.75390126451</v>
      </c>
      <c r="K295" s="39">
        <f t="shared" si="48"/>
        <v>598194.24609873537</v>
      </c>
      <c r="L295" s="39">
        <f t="shared" si="48"/>
        <v>1200449.3504469972</v>
      </c>
      <c r="M295" s="39">
        <f t="shared" si="48"/>
        <v>1798643.5965457233</v>
      </c>
    </row>
    <row r="296" spans="4:13" x14ac:dyDescent="0.45">
      <c r="D296">
        <f t="shared" si="46"/>
        <v>291</v>
      </c>
      <c r="E296" s="38">
        <f t="shared" ca="1" si="41"/>
        <v>54939</v>
      </c>
      <c r="F296" s="2">
        <f t="shared" si="42"/>
        <v>4188.1556827389441</v>
      </c>
      <c r="G296" s="3">
        <f t="shared" si="43"/>
        <v>2014.0636156946148</v>
      </c>
      <c r="H296" s="2">
        <f t="shared" si="44"/>
        <v>6202.2192984335588</v>
      </c>
      <c r="I296" s="3">
        <f t="shared" si="45"/>
        <v>353867.59821852559</v>
      </c>
      <c r="K296" s="39">
        <f t="shared" ref="K296:M311" si="49">K295+F296</f>
        <v>602382.40178147436</v>
      </c>
      <c r="L296" s="39">
        <f t="shared" si="49"/>
        <v>1202463.4140626919</v>
      </c>
      <c r="M296" s="39">
        <f t="shared" si="49"/>
        <v>1804845.8158441568</v>
      </c>
    </row>
    <row r="297" spans="4:13" x14ac:dyDescent="0.45">
      <c r="D297">
        <f t="shared" si="46"/>
        <v>292</v>
      </c>
      <c r="E297" s="38">
        <f t="shared" ca="1" si="41"/>
        <v>54969</v>
      </c>
      <c r="F297" s="2">
        <f t="shared" si="42"/>
        <v>4211.7140584543513</v>
      </c>
      <c r="G297" s="3">
        <f t="shared" si="43"/>
        <v>1990.5052399792075</v>
      </c>
      <c r="H297" s="2">
        <f t="shared" si="44"/>
        <v>6202.2192984335588</v>
      </c>
      <c r="I297" s="3">
        <f t="shared" si="45"/>
        <v>349655.88416007126</v>
      </c>
      <c r="K297" s="39">
        <f t="shared" si="49"/>
        <v>606594.11583992874</v>
      </c>
      <c r="L297" s="39">
        <f t="shared" si="49"/>
        <v>1204453.919302671</v>
      </c>
      <c r="M297" s="39">
        <f t="shared" si="49"/>
        <v>1811048.0351425903</v>
      </c>
    </row>
    <row r="298" spans="4:13" x14ac:dyDescent="0.45">
      <c r="D298">
        <f t="shared" si="46"/>
        <v>293</v>
      </c>
      <c r="E298" s="38">
        <f t="shared" ca="1" si="41"/>
        <v>55000</v>
      </c>
      <c r="F298" s="2">
        <f t="shared" si="42"/>
        <v>4235.4049500331566</v>
      </c>
      <c r="G298" s="3">
        <f t="shared" si="43"/>
        <v>1966.8143484004022</v>
      </c>
      <c r="H298" s="2">
        <f t="shared" si="44"/>
        <v>6202.2192984335588</v>
      </c>
      <c r="I298" s="3">
        <f t="shared" si="45"/>
        <v>345420.47921003809</v>
      </c>
      <c r="K298" s="39">
        <f t="shared" si="49"/>
        <v>610829.52078996191</v>
      </c>
      <c r="L298" s="39">
        <f t="shared" si="49"/>
        <v>1206420.7336510713</v>
      </c>
      <c r="M298" s="39">
        <f t="shared" si="49"/>
        <v>1817250.2544410238</v>
      </c>
    </row>
    <row r="299" spans="4:13" x14ac:dyDescent="0.45">
      <c r="D299">
        <f t="shared" si="46"/>
        <v>294</v>
      </c>
      <c r="E299" s="38">
        <f t="shared" ca="1" si="41"/>
        <v>55031</v>
      </c>
      <c r="F299" s="2">
        <f t="shared" si="42"/>
        <v>4259.2291028770933</v>
      </c>
      <c r="G299" s="3">
        <f t="shared" si="43"/>
        <v>1942.9901955564656</v>
      </c>
      <c r="H299" s="2">
        <f t="shared" si="44"/>
        <v>6202.2192984335588</v>
      </c>
      <c r="I299" s="3">
        <f t="shared" si="45"/>
        <v>341161.250107161</v>
      </c>
      <c r="K299" s="39">
        <f t="shared" si="49"/>
        <v>615088.749892839</v>
      </c>
      <c r="L299" s="39">
        <f t="shared" si="49"/>
        <v>1208363.7238466279</v>
      </c>
      <c r="M299" s="39">
        <f t="shared" si="49"/>
        <v>1823452.4737394573</v>
      </c>
    </row>
    <row r="300" spans="4:13" x14ac:dyDescent="0.45">
      <c r="D300">
        <f t="shared" si="46"/>
        <v>295</v>
      </c>
      <c r="E300" s="38">
        <f t="shared" ca="1" si="41"/>
        <v>55061</v>
      </c>
      <c r="F300" s="2">
        <f t="shared" si="42"/>
        <v>4283.1872665807768</v>
      </c>
      <c r="G300" s="3">
        <f t="shared" si="43"/>
        <v>1919.032031852782</v>
      </c>
      <c r="H300" s="2">
        <f t="shared" si="44"/>
        <v>6202.2192984335588</v>
      </c>
      <c r="I300" s="3">
        <f t="shared" si="45"/>
        <v>336878.06284058024</v>
      </c>
      <c r="K300" s="39">
        <f t="shared" si="49"/>
        <v>619371.93715941976</v>
      </c>
      <c r="L300" s="39">
        <f t="shared" si="49"/>
        <v>1210282.7558784806</v>
      </c>
      <c r="M300" s="39">
        <f t="shared" si="49"/>
        <v>1829654.6930378908</v>
      </c>
    </row>
    <row r="301" spans="4:13" x14ac:dyDescent="0.45">
      <c r="D301">
        <f t="shared" si="46"/>
        <v>296</v>
      </c>
      <c r="E301" s="38">
        <f t="shared" ca="1" si="41"/>
        <v>55092</v>
      </c>
      <c r="F301" s="2">
        <f t="shared" si="42"/>
        <v>4307.2801949552941</v>
      </c>
      <c r="G301" s="3">
        <f t="shared" si="43"/>
        <v>1894.9391034782648</v>
      </c>
      <c r="H301" s="2">
        <f t="shared" si="44"/>
        <v>6202.2192984335588</v>
      </c>
      <c r="I301" s="3">
        <f t="shared" si="45"/>
        <v>332570.78264562495</v>
      </c>
      <c r="K301" s="39">
        <f t="shared" si="49"/>
        <v>623679.21735437505</v>
      </c>
      <c r="L301" s="39">
        <f t="shared" si="49"/>
        <v>1212177.6949819589</v>
      </c>
      <c r="M301" s="39">
        <f t="shared" si="49"/>
        <v>1835856.9123363243</v>
      </c>
    </row>
    <row r="302" spans="4:13" x14ac:dyDescent="0.45">
      <c r="D302">
        <f t="shared" si="46"/>
        <v>297</v>
      </c>
      <c r="E302" s="38">
        <f t="shared" ca="1" si="41"/>
        <v>55122</v>
      </c>
      <c r="F302" s="2">
        <f t="shared" si="42"/>
        <v>4331.5086460519169</v>
      </c>
      <c r="G302" s="3">
        <f t="shared" si="43"/>
        <v>1870.7106523816419</v>
      </c>
      <c r="H302" s="2">
        <f t="shared" si="44"/>
        <v>6202.2192984335588</v>
      </c>
      <c r="I302" s="3">
        <f t="shared" si="45"/>
        <v>328239.27399957302</v>
      </c>
      <c r="K302" s="39">
        <f t="shared" si="49"/>
        <v>628010.72600042692</v>
      </c>
      <c r="L302" s="39">
        <f t="shared" si="49"/>
        <v>1214048.4056343406</v>
      </c>
      <c r="M302" s="39">
        <f t="shared" si="49"/>
        <v>1842059.1316347579</v>
      </c>
    </row>
    <row r="303" spans="4:13" x14ac:dyDescent="0.45">
      <c r="D303">
        <f t="shared" si="46"/>
        <v>298</v>
      </c>
      <c r="E303" s="38">
        <f t="shared" ca="1" si="41"/>
        <v>55153</v>
      </c>
      <c r="F303" s="2">
        <f t="shared" si="42"/>
        <v>4355.8733821859587</v>
      </c>
      <c r="G303" s="3">
        <f t="shared" si="43"/>
        <v>1846.3459162476001</v>
      </c>
      <c r="H303" s="2">
        <f t="shared" si="44"/>
        <v>6202.2192984335588</v>
      </c>
      <c r="I303" s="3">
        <f t="shared" si="45"/>
        <v>323883.40061738709</v>
      </c>
      <c r="K303" s="39">
        <f t="shared" si="49"/>
        <v>632366.59938261285</v>
      </c>
      <c r="L303" s="39">
        <f t="shared" si="49"/>
        <v>1215894.7515505883</v>
      </c>
      <c r="M303" s="39">
        <f t="shared" si="49"/>
        <v>1848261.3509331914</v>
      </c>
    </row>
    <row r="304" spans="4:13" x14ac:dyDescent="0.45">
      <c r="D304">
        <f t="shared" si="46"/>
        <v>299</v>
      </c>
      <c r="E304" s="38">
        <f t="shared" ca="1" si="41"/>
        <v>55184</v>
      </c>
      <c r="F304" s="2">
        <f t="shared" si="42"/>
        <v>4380.3751699607556</v>
      </c>
      <c r="G304" s="3">
        <f t="shared" si="43"/>
        <v>1821.8441284728033</v>
      </c>
      <c r="H304" s="2">
        <f t="shared" si="44"/>
        <v>6202.2192984335588</v>
      </c>
      <c r="I304" s="3">
        <f t="shared" si="45"/>
        <v>319503.02544742631</v>
      </c>
      <c r="K304" s="39">
        <f t="shared" si="49"/>
        <v>636746.97455257364</v>
      </c>
      <c r="L304" s="39">
        <f t="shared" si="49"/>
        <v>1217716.595679061</v>
      </c>
      <c r="M304" s="39">
        <f t="shared" si="49"/>
        <v>1854463.5702316249</v>
      </c>
    </row>
    <row r="305" spans="4:13" x14ac:dyDescent="0.45">
      <c r="D305">
        <f t="shared" si="46"/>
        <v>300</v>
      </c>
      <c r="E305" s="38">
        <f t="shared" ca="1" si="41"/>
        <v>55212</v>
      </c>
      <c r="F305" s="2">
        <f t="shared" si="42"/>
        <v>4405.0147802917845</v>
      </c>
      <c r="G305" s="3">
        <f t="shared" si="43"/>
        <v>1797.2045181417743</v>
      </c>
      <c r="H305" s="2">
        <f t="shared" si="44"/>
        <v>6202.2192984335588</v>
      </c>
      <c r="I305" s="3">
        <f t="shared" si="45"/>
        <v>315098.01066713454</v>
      </c>
      <c r="K305" s="39">
        <f t="shared" si="49"/>
        <v>641151.98933286546</v>
      </c>
      <c r="L305" s="39">
        <f t="shared" si="49"/>
        <v>1219513.8001972027</v>
      </c>
      <c r="M305" s="39">
        <f t="shared" si="49"/>
        <v>1860665.7895300584</v>
      </c>
    </row>
    <row r="306" spans="4:13" x14ac:dyDescent="0.45">
      <c r="D306">
        <f t="shared" si="46"/>
        <v>301</v>
      </c>
      <c r="E306" s="38">
        <f t="shared" ca="1" si="41"/>
        <v>55243</v>
      </c>
      <c r="F306" s="2">
        <f t="shared" si="42"/>
        <v>4429.792988430926</v>
      </c>
      <c r="G306" s="3">
        <f t="shared" si="43"/>
        <v>1772.4263100026328</v>
      </c>
      <c r="H306" s="2">
        <f t="shared" si="44"/>
        <v>6202.2192984335588</v>
      </c>
      <c r="I306" s="3">
        <f t="shared" si="45"/>
        <v>310668.2176787036</v>
      </c>
      <c r="K306" s="39">
        <f t="shared" si="49"/>
        <v>645581.7823212964</v>
      </c>
      <c r="L306" s="39">
        <f t="shared" si="49"/>
        <v>1221286.2265072053</v>
      </c>
      <c r="M306" s="39">
        <f t="shared" si="49"/>
        <v>1866868.0088284919</v>
      </c>
    </row>
    <row r="307" spans="4:13" x14ac:dyDescent="0.45">
      <c r="D307">
        <f t="shared" si="46"/>
        <v>302</v>
      </c>
      <c r="E307" s="38">
        <f t="shared" ca="1" si="41"/>
        <v>55273</v>
      </c>
      <c r="F307" s="2">
        <f t="shared" si="42"/>
        <v>4454.7105739908502</v>
      </c>
      <c r="G307" s="3">
        <f t="shared" si="43"/>
        <v>1747.5087244427086</v>
      </c>
      <c r="H307" s="2">
        <f t="shared" si="44"/>
        <v>6202.2192984335588</v>
      </c>
      <c r="I307" s="3">
        <f t="shared" si="45"/>
        <v>306213.50710471277</v>
      </c>
      <c r="K307" s="39">
        <f t="shared" si="49"/>
        <v>650036.49289528723</v>
      </c>
      <c r="L307" s="39">
        <f t="shared" si="49"/>
        <v>1223033.735231648</v>
      </c>
      <c r="M307" s="39">
        <f t="shared" si="49"/>
        <v>1873070.2281269254</v>
      </c>
    </row>
    <row r="308" spans="4:13" x14ac:dyDescent="0.45">
      <c r="D308">
        <f t="shared" si="46"/>
        <v>303</v>
      </c>
      <c r="E308" s="38">
        <f t="shared" ca="1" si="41"/>
        <v>55304</v>
      </c>
      <c r="F308" s="2">
        <f t="shared" si="42"/>
        <v>4479.7683209695488</v>
      </c>
      <c r="G308" s="3">
        <f t="shared" si="43"/>
        <v>1722.4509774640101</v>
      </c>
      <c r="H308" s="2">
        <f t="shared" si="44"/>
        <v>6202.2192984335588</v>
      </c>
      <c r="I308" s="3">
        <f t="shared" si="45"/>
        <v>301733.73878374323</v>
      </c>
      <c r="K308" s="39">
        <f t="shared" si="49"/>
        <v>654516.26121625677</v>
      </c>
      <c r="L308" s="39">
        <f t="shared" si="49"/>
        <v>1224756.1862091119</v>
      </c>
      <c r="M308" s="39">
        <f t="shared" si="49"/>
        <v>1879272.4474253589</v>
      </c>
    </row>
    <row r="309" spans="4:13" x14ac:dyDescent="0.45">
      <c r="D309">
        <f t="shared" si="46"/>
        <v>304</v>
      </c>
      <c r="E309" s="38">
        <f t="shared" ca="1" si="41"/>
        <v>55334</v>
      </c>
      <c r="F309" s="2">
        <f t="shared" si="42"/>
        <v>4504.9670177750031</v>
      </c>
      <c r="G309" s="3">
        <f t="shared" si="43"/>
        <v>1697.2522806585557</v>
      </c>
      <c r="H309" s="2">
        <f t="shared" si="44"/>
        <v>6202.2192984335588</v>
      </c>
      <c r="I309" s="3">
        <f t="shared" si="45"/>
        <v>297228.77176596824</v>
      </c>
      <c r="K309" s="39">
        <f t="shared" si="49"/>
        <v>659021.22823403182</v>
      </c>
      <c r="L309" s="39">
        <f t="shared" si="49"/>
        <v>1226453.4384897705</v>
      </c>
      <c r="M309" s="39">
        <f t="shared" si="49"/>
        <v>1885474.6667237924</v>
      </c>
    </row>
    <row r="310" spans="4:13" x14ac:dyDescent="0.45">
      <c r="D310">
        <f t="shared" si="46"/>
        <v>305</v>
      </c>
      <c r="E310" s="38">
        <f t="shared" ca="1" si="41"/>
        <v>55365</v>
      </c>
      <c r="F310" s="2">
        <f t="shared" si="42"/>
        <v>4530.3074572499863</v>
      </c>
      <c r="G310" s="3">
        <f t="shared" si="43"/>
        <v>1671.9118411835725</v>
      </c>
      <c r="H310" s="2">
        <f t="shared" si="44"/>
        <v>6202.2192984335588</v>
      </c>
      <c r="I310" s="3">
        <f t="shared" si="45"/>
        <v>292698.46430871828</v>
      </c>
      <c r="K310" s="39">
        <f t="shared" si="49"/>
        <v>663551.53569128178</v>
      </c>
      <c r="L310" s="39">
        <f t="shared" si="49"/>
        <v>1228125.3503309542</v>
      </c>
      <c r="M310" s="39">
        <f t="shared" si="49"/>
        <v>1891676.886022226</v>
      </c>
    </row>
    <row r="311" spans="4:13" x14ac:dyDescent="0.45">
      <c r="D311">
        <f t="shared" si="46"/>
        <v>306</v>
      </c>
      <c r="E311" s="38">
        <f t="shared" ca="1" si="41"/>
        <v>55396</v>
      </c>
      <c r="F311" s="2">
        <f t="shared" si="42"/>
        <v>4555.7904366970179</v>
      </c>
      <c r="G311" s="3">
        <f t="shared" si="43"/>
        <v>1646.428861736541</v>
      </c>
      <c r="H311" s="2">
        <f t="shared" si="44"/>
        <v>6202.2192984335588</v>
      </c>
      <c r="I311" s="3">
        <f t="shared" si="45"/>
        <v>288142.67387202126</v>
      </c>
      <c r="K311" s="39">
        <f t="shared" si="49"/>
        <v>668107.32612797874</v>
      </c>
      <c r="L311" s="39">
        <f t="shared" si="49"/>
        <v>1229771.7791926907</v>
      </c>
      <c r="M311" s="39">
        <f t="shared" si="49"/>
        <v>1897879.1053206595</v>
      </c>
    </row>
    <row r="312" spans="4:13" x14ac:dyDescent="0.45">
      <c r="D312">
        <f t="shared" si="46"/>
        <v>307</v>
      </c>
      <c r="E312" s="38">
        <f t="shared" ca="1" si="41"/>
        <v>55426</v>
      </c>
      <c r="F312" s="2">
        <f t="shared" si="42"/>
        <v>4581.4167579034383</v>
      </c>
      <c r="G312" s="3">
        <f t="shared" si="43"/>
        <v>1620.8025405301205</v>
      </c>
      <c r="H312" s="2">
        <f t="shared" si="44"/>
        <v>6202.2192984335588</v>
      </c>
      <c r="I312" s="3">
        <f t="shared" si="45"/>
        <v>283561.25711411785</v>
      </c>
      <c r="K312" s="39">
        <f t="shared" ref="K312:M327" si="50">K311+F312</f>
        <v>672688.74288588215</v>
      </c>
      <c r="L312" s="39">
        <f t="shared" si="50"/>
        <v>1231392.581733221</v>
      </c>
      <c r="M312" s="39">
        <f t="shared" si="50"/>
        <v>1904081.324619093</v>
      </c>
    </row>
    <row r="313" spans="4:13" x14ac:dyDescent="0.45">
      <c r="D313">
        <f t="shared" si="46"/>
        <v>308</v>
      </c>
      <c r="E313" s="38">
        <f t="shared" ca="1" si="41"/>
        <v>55457</v>
      </c>
      <c r="F313" s="2">
        <f t="shared" si="42"/>
        <v>4607.1872271666452</v>
      </c>
      <c r="G313" s="3">
        <f t="shared" si="43"/>
        <v>1595.0320712669136</v>
      </c>
      <c r="H313" s="2">
        <f t="shared" si="44"/>
        <v>6202.2192984335588</v>
      </c>
      <c r="I313" s="3">
        <f t="shared" si="45"/>
        <v>278954.06988695118</v>
      </c>
      <c r="K313" s="39">
        <f t="shared" si="50"/>
        <v>677295.93011304876</v>
      </c>
      <c r="L313" s="39">
        <f t="shared" si="50"/>
        <v>1232987.613804488</v>
      </c>
      <c r="M313" s="39">
        <f t="shared" si="50"/>
        <v>1910283.5439175265</v>
      </c>
    </row>
    <row r="314" spans="4:13" x14ac:dyDescent="0.45">
      <c r="D314">
        <f t="shared" si="46"/>
        <v>309</v>
      </c>
      <c r="E314" s="38">
        <f t="shared" ca="1" si="41"/>
        <v>55487</v>
      </c>
      <c r="F314" s="2">
        <f t="shared" si="42"/>
        <v>4633.1026553194579</v>
      </c>
      <c r="G314" s="3">
        <f t="shared" si="43"/>
        <v>1569.116643114101</v>
      </c>
      <c r="H314" s="2">
        <f t="shared" si="44"/>
        <v>6202.2192984335588</v>
      </c>
      <c r="I314" s="3">
        <f t="shared" si="45"/>
        <v>274320.96723163174</v>
      </c>
      <c r="K314" s="39">
        <f t="shared" si="50"/>
        <v>681929.03276836826</v>
      </c>
      <c r="L314" s="39">
        <f t="shared" si="50"/>
        <v>1234556.730447602</v>
      </c>
      <c r="M314" s="39">
        <f t="shared" si="50"/>
        <v>1916485.76321596</v>
      </c>
    </row>
    <row r="315" spans="4:13" x14ac:dyDescent="0.45">
      <c r="D315">
        <f t="shared" si="46"/>
        <v>310</v>
      </c>
      <c r="E315" s="38">
        <f t="shared" ca="1" si="41"/>
        <v>55518</v>
      </c>
      <c r="F315" s="2">
        <f t="shared" si="42"/>
        <v>4659.1638577556296</v>
      </c>
      <c r="G315" s="3">
        <f t="shared" si="43"/>
        <v>1543.0554406779293</v>
      </c>
      <c r="H315" s="2">
        <f t="shared" si="44"/>
        <v>6202.2192984335588</v>
      </c>
      <c r="I315" s="3">
        <f t="shared" si="45"/>
        <v>269661.80337387614</v>
      </c>
      <c r="K315" s="39">
        <f t="shared" si="50"/>
        <v>686588.19662612386</v>
      </c>
      <c r="L315" s="39">
        <f t="shared" si="50"/>
        <v>1236099.78588828</v>
      </c>
      <c r="M315" s="39">
        <f t="shared" si="50"/>
        <v>1922687.9825143935</v>
      </c>
    </row>
    <row r="316" spans="4:13" x14ac:dyDescent="0.45">
      <c r="D316">
        <f t="shared" si="46"/>
        <v>311</v>
      </c>
      <c r="E316" s="38">
        <f t="shared" ca="1" si="41"/>
        <v>55549</v>
      </c>
      <c r="F316" s="2">
        <f t="shared" si="42"/>
        <v>4685.3716544555054</v>
      </c>
      <c r="G316" s="3">
        <f t="shared" si="43"/>
        <v>1516.8476439780534</v>
      </c>
      <c r="H316" s="2">
        <f t="shared" si="44"/>
        <v>6202.2192984335588</v>
      </c>
      <c r="I316" s="3">
        <f t="shared" si="45"/>
        <v>264976.43171942065</v>
      </c>
      <c r="K316" s="39">
        <f t="shared" si="50"/>
        <v>691273.56828057941</v>
      </c>
      <c r="L316" s="39">
        <f t="shared" si="50"/>
        <v>1237616.633532258</v>
      </c>
      <c r="M316" s="39">
        <f t="shared" si="50"/>
        <v>1928890.201812827</v>
      </c>
    </row>
    <row r="317" spans="4:13" x14ac:dyDescent="0.45">
      <c r="D317">
        <f t="shared" si="46"/>
        <v>312</v>
      </c>
      <c r="E317" s="38">
        <f t="shared" ca="1" si="41"/>
        <v>55578</v>
      </c>
      <c r="F317" s="2">
        <f t="shared" si="42"/>
        <v>4711.7268700118175</v>
      </c>
      <c r="G317" s="3">
        <f t="shared" si="43"/>
        <v>1490.4924284217414</v>
      </c>
      <c r="H317" s="2">
        <f t="shared" si="44"/>
        <v>6202.2192984335588</v>
      </c>
      <c r="I317" s="3">
        <f t="shared" si="45"/>
        <v>260264.70484940882</v>
      </c>
      <c r="K317" s="39">
        <f t="shared" si="50"/>
        <v>695985.29515059118</v>
      </c>
      <c r="L317" s="39">
        <f t="shared" si="50"/>
        <v>1239107.1259606797</v>
      </c>
      <c r="M317" s="39">
        <f t="shared" si="50"/>
        <v>1935092.4211112605</v>
      </c>
    </row>
    <row r="318" spans="4:13" x14ac:dyDescent="0.45">
      <c r="D318">
        <f t="shared" si="46"/>
        <v>313</v>
      </c>
      <c r="E318" s="38">
        <f t="shared" ca="1" si="41"/>
        <v>55609</v>
      </c>
      <c r="F318" s="2">
        <f t="shared" si="42"/>
        <v>4738.2303336556333</v>
      </c>
      <c r="G318" s="3">
        <f t="shared" si="43"/>
        <v>1463.9889647779255</v>
      </c>
      <c r="H318" s="2">
        <f t="shared" si="44"/>
        <v>6202.2192984335588</v>
      </c>
      <c r="I318" s="3">
        <f t="shared" si="45"/>
        <v>255526.47451575319</v>
      </c>
      <c r="K318" s="39">
        <f t="shared" si="50"/>
        <v>700723.52548424678</v>
      </c>
      <c r="L318" s="39">
        <f t="shared" si="50"/>
        <v>1240571.1149254576</v>
      </c>
      <c r="M318" s="39">
        <f t="shared" si="50"/>
        <v>1941294.6404096941</v>
      </c>
    </row>
    <row r="319" spans="4:13" x14ac:dyDescent="0.45">
      <c r="D319">
        <f t="shared" si="46"/>
        <v>314</v>
      </c>
      <c r="E319" s="38">
        <f t="shared" ca="1" si="41"/>
        <v>55639</v>
      </c>
      <c r="F319" s="2">
        <f t="shared" si="42"/>
        <v>4764.882879282447</v>
      </c>
      <c r="G319" s="3">
        <f t="shared" si="43"/>
        <v>1437.3364191511118</v>
      </c>
      <c r="H319" s="2">
        <f t="shared" si="44"/>
        <v>6202.2192984335588</v>
      </c>
      <c r="I319" s="3">
        <f t="shared" si="45"/>
        <v>250761.59163647075</v>
      </c>
      <c r="K319" s="39">
        <f t="shared" si="50"/>
        <v>705488.40836352925</v>
      </c>
      <c r="L319" s="39">
        <f t="shared" si="50"/>
        <v>1242008.4513446088</v>
      </c>
      <c r="M319" s="39">
        <f t="shared" si="50"/>
        <v>1947496.8597081276</v>
      </c>
    </row>
    <row r="320" spans="4:13" x14ac:dyDescent="0.45">
      <c r="D320">
        <f t="shared" si="46"/>
        <v>315</v>
      </c>
      <c r="E320" s="38">
        <f t="shared" ca="1" si="41"/>
        <v>55670</v>
      </c>
      <c r="F320" s="2">
        <f t="shared" si="42"/>
        <v>4791.6853454784105</v>
      </c>
      <c r="G320" s="3">
        <f t="shared" si="43"/>
        <v>1410.5339529551484</v>
      </c>
      <c r="H320" s="2">
        <f t="shared" si="44"/>
        <v>6202.2192984335588</v>
      </c>
      <c r="I320" s="3">
        <f t="shared" si="45"/>
        <v>245969.90629099234</v>
      </c>
      <c r="K320" s="39">
        <f t="shared" si="50"/>
        <v>710280.0937090076</v>
      </c>
      <c r="L320" s="39">
        <f t="shared" si="50"/>
        <v>1243418.985297564</v>
      </c>
      <c r="M320" s="39">
        <f t="shared" si="50"/>
        <v>1953699.0790065611</v>
      </c>
    </row>
    <row r="321" spans="4:13" x14ac:dyDescent="0.45">
      <c r="D321">
        <f t="shared" si="46"/>
        <v>316</v>
      </c>
      <c r="E321" s="38">
        <f t="shared" ca="1" si="41"/>
        <v>55700</v>
      </c>
      <c r="F321" s="2">
        <f t="shared" si="42"/>
        <v>4818.6385755467263</v>
      </c>
      <c r="G321" s="3">
        <f t="shared" si="43"/>
        <v>1383.5807228868325</v>
      </c>
      <c r="H321" s="2">
        <f t="shared" si="44"/>
        <v>6202.2192984335588</v>
      </c>
      <c r="I321" s="3">
        <f t="shared" si="45"/>
        <v>241151.2677154456</v>
      </c>
      <c r="K321" s="39">
        <f t="shared" si="50"/>
        <v>715098.73228455428</v>
      </c>
      <c r="L321" s="39">
        <f t="shared" si="50"/>
        <v>1244802.5660204508</v>
      </c>
      <c r="M321" s="39">
        <f t="shared" si="50"/>
        <v>1959901.2983049946</v>
      </c>
    </row>
    <row r="322" spans="4:13" x14ac:dyDescent="0.45">
      <c r="D322">
        <f t="shared" si="46"/>
        <v>317</v>
      </c>
      <c r="E322" s="38">
        <f t="shared" ca="1" si="41"/>
        <v>55731</v>
      </c>
      <c r="F322" s="2">
        <f t="shared" si="42"/>
        <v>4845.7434175341768</v>
      </c>
      <c r="G322" s="3">
        <f t="shared" si="43"/>
        <v>1356.475880899382</v>
      </c>
      <c r="H322" s="2">
        <f t="shared" si="44"/>
        <v>6202.2192984335588</v>
      </c>
      <c r="I322" s="3">
        <f t="shared" si="45"/>
        <v>236305.52429791144</v>
      </c>
      <c r="K322" s="39">
        <f t="shared" si="50"/>
        <v>719944.47570208844</v>
      </c>
      <c r="L322" s="39">
        <f t="shared" si="50"/>
        <v>1246159.0419013503</v>
      </c>
      <c r="M322" s="39">
        <f t="shared" si="50"/>
        <v>1966103.5176034281</v>
      </c>
    </row>
    <row r="323" spans="4:13" x14ac:dyDescent="0.45">
      <c r="D323">
        <f t="shared" si="46"/>
        <v>318</v>
      </c>
      <c r="E323" s="38">
        <f t="shared" ca="1" si="41"/>
        <v>55762</v>
      </c>
      <c r="F323" s="2">
        <f t="shared" si="42"/>
        <v>4873.0007242578067</v>
      </c>
      <c r="G323" s="3">
        <f t="shared" si="43"/>
        <v>1329.2185741757521</v>
      </c>
      <c r="H323" s="2">
        <f t="shared" si="44"/>
        <v>6202.2192984335588</v>
      </c>
      <c r="I323" s="3">
        <f t="shared" si="45"/>
        <v>231432.52357365363</v>
      </c>
      <c r="K323" s="39">
        <f t="shared" si="50"/>
        <v>724817.47642634623</v>
      </c>
      <c r="L323" s="39">
        <f t="shared" si="50"/>
        <v>1247488.2604755261</v>
      </c>
      <c r="M323" s="39">
        <f t="shared" si="50"/>
        <v>1972305.7369018616</v>
      </c>
    </row>
    <row r="324" spans="4:13" x14ac:dyDescent="0.45">
      <c r="D324">
        <f t="shared" si="46"/>
        <v>319</v>
      </c>
      <c r="E324" s="38">
        <f t="shared" ca="1" si="41"/>
        <v>55792</v>
      </c>
      <c r="F324" s="2">
        <f t="shared" si="42"/>
        <v>4900.4113533317568</v>
      </c>
      <c r="G324" s="3">
        <f t="shared" si="43"/>
        <v>1301.807945101802</v>
      </c>
      <c r="H324" s="2">
        <f t="shared" si="44"/>
        <v>6202.2192984335588</v>
      </c>
      <c r="I324" s="3">
        <f t="shared" si="45"/>
        <v>226532.11222032187</v>
      </c>
      <c r="K324" s="39">
        <f t="shared" si="50"/>
        <v>729717.88777967799</v>
      </c>
      <c r="L324" s="39">
        <f t="shared" si="50"/>
        <v>1248790.0684206279</v>
      </c>
      <c r="M324" s="39">
        <f t="shared" si="50"/>
        <v>1978507.9562002951</v>
      </c>
    </row>
    <row r="325" spans="4:13" x14ac:dyDescent="0.45">
      <c r="D325">
        <f t="shared" si="46"/>
        <v>320</v>
      </c>
      <c r="E325" s="38">
        <f t="shared" ca="1" si="41"/>
        <v>55823</v>
      </c>
      <c r="F325" s="2">
        <f t="shared" si="42"/>
        <v>4927.9761671942479</v>
      </c>
      <c r="G325" s="3">
        <f t="shared" si="43"/>
        <v>1274.243131239311</v>
      </c>
      <c r="H325" s="2">
        <f t="shared" si="44"/>
        <v>6202.2192984335588</v>
      </c>
      <c r="I325" s="3">
        <f t="shared" si="45"/>
        <v>221604.13605312762</v>
      </c>
      <c r="K325" s="39">
        <f t="shared" si="50"/>
        <v>734645.86394687218</v>
      </c>
      <c r="L325" s="39">
        <f t="shared" si="50"/>
        <v>1250064.3115518671</v>
      </c>
      <c r="M325" s="39">
        <f t="shared" si="50"/>
        <v>1984710.1754987286</v>
      </c>
    </row>
    <row r="326" spans="4:13" x14ac:dyDescent="0.45">
      <c r="D326">
        <f t="shared" si="46"/>
        <v>321</v>
      </c>
      <c r="E326" s="38">
        <f t="shared" ca="1" si="41"/>
        <v>55853</v>
      </c>
      <c r="F326" s="2">
        <f t="shared" si="42"/>
        <v>4955.6960331347154</v>
      </c>
      <c r="G326" s="3">
        <f t="shared" si="43"/>
        <v>1246.5232652988434</v>
      </c>
      <c r="H326" s="2">
        <f t="shared" si="44"/>
        <v>6202.2192984335588</v>
      </c>
      <c r="I326" s="3">
        <f t="shared" si="45"/>
        <v>216648.44001999291</v>
      </c>
      <c r="K326" s="39">
        <f t="shared" si="50"/>
        <v>739601.55998000689</v>
      </c>
      <c r="L326" s="39">
        <f t="shared" si="50"/>
        <v>1251310.834817166</v>
      </c>
      <c r="M326" s="39">
        <f t="shared" si="50"/>
        <v>1990912.3947971622</v>
      </c>
    </row>
    <row r="327" spans="4:13" x14ac:dyDescent="0.45">
      <c r="D327">
        <f t="shared" si="46"/>
        <v>322</v>
      </c>
      <c r="E327" s="38">
        <f t="shared" ref="E327:E365" ca="1" si="51">EOMONTH(E326,1)</f>
        <v>55884</v>
      </c>
      <c r="F327" s="2">
        <f t="shared" ref="F327:F365" si="52">PPMT($B$4/12,D327,$B$5,-$B$3,0)</f>
        <v>4983.5718233210982</v>
      </c>
      <c r="G327" s="3">
        <f t="shared" ref="G327:G365" si="53">H327-F327</f>
        <v>1218.6474751124606</v>
      </c>
      <c r="H327" s="2">
        <f t="shared" ref="H327:H365" si="54">$B$6</f>
        <v>6202.2192984335588</v>
      </c>
      <c r="I327" s="3">
        <f t="shared" ref="I327:I365" si="55">I326-F327</f>
        <v>211664.8681966718</v>
      </c>
      <c r="K327" s="39">
        <f t="shared" si="50"/>
        <v>744585.13180332794</v>
      </c>
      <c r="L327" s="39">
        <f t="shared" si="50"/>
        <v>1252529.4822922784</v>
      </c>
      <c r="M327" s="39">
        <f t="shared" si="50"/>
        <v>1997114.6140955957</v>
      </c>
    </row>
    <row r="328" spans="4:13" x14ac:dyDescent="0.45">
      <c r="D328">
        <f t="shared" ref="D328:D365" si="56">D327+1</f>
        <v>323</v>
      </c>
      <c r="E328" s="38">
        <f t="shared" ca="1" si="51"/>
        <v>55915</v>
      </c>
      <c r="F328" s="2">
        <f t="shared" si="52"/>
        <v>5011.6044148272795</v>
      </c>
      <c r="G328" s="3">
        <f t="shared" si="53"/>
        <v>1190.6148836062794</v>
      </c>
      <c r="H328" s="2">
        <f t="shared" si="54"/>
        <v>6202.2192984335588</v>
      </c>
      <c r="I328" s="3">
        <f t="shared" si="55"/>
        <v>206653.26378184452</v>
      </c>
      <c r="K328" s="39">
        <f t="shared" ref="K328:M343" si="57">K327+F328</f>
        <v>749596.73621815525</v>
      </c>
      <c r="L328" s="39">
        <f t="shared" si="57"/>
        <v>1253720.0971758848</v>
      </c>
      <c r="M328" s="39">
        <f t="shared" si="57"/>
        <v>2003316.8333940292</v>
      </c>
    </row>
    <row r="329" spans="4:13" x14ac:dyDescent="0.45">
      <c r="D329">
        <f t="shared" si="56"/>
        <v>324</v>
      </c>
      <c r="E329" s="38">
        <f t="shared" ca="1" si="51"/>
        <v>55943</v>
      </c>
      <c r="F329" s="2">
        <f t="shared" si="52"/>
        <v>5039.7946896606827</v>
      </c>
      <c r="G329" s="3">
        <f t="shared" si="53"/>
        <v>1162.4246087728761</v>
      </c>
      <c r="H329" s="2">
        <f t="shared" si="54"/>
        <v>6202.2192984335588</v>
      </c>
      <c r="I329" s="3">
        <f t="shared" si="55"/>
        <v>201613.46909218383</v>
      </c>
      <c r="K329" s="39">
        <f t="shared" si="57"/>
        <v>754636.5309078159</v>
      </c>
      <c r="L329" s="39">
        <f t="shared" si="57"/>
        <v>1254882.5217846576</v>
      </c>
      <c r="M329" s="39">
        <f t="shared" si="57"/>
        <v>2009519.0526924627</v>
      </c>
    </row>
    <row r="330" spans="4:13" x14ac:dyDescent="0.45">
      <c r="D330">
        <f t="shared" si="56"/>
        <v>325</v>
      </c>
      <c r="E330" s="38">
        <f t="shared" ca="1" si="51"/>
        <v>55974</v>
      </c>
      <c r="F330" s="2">
        <f t="shared" si="52"/>
        <v>5068.1435347900242</v>
      </c>
      <c r="G330" s="3">
        <f t="shared" si="53"/>
        <v>1134.0757636435346</v>
      </c>
      <c r="H330" s="2">
        <f t="shared" si="54"/>
        <v>6202.2192984335588</v>
      </c>
      <c r="I330" s="3">
        <f t="shared" si="55"/>
        <v>196545.32555739381</v>
      </c>
      <c r="K330" s="39">
        <f t="shared" si="57"/>
        <v>759704.67444260593</v>
      </c>
      <c r="L330" s="39">
        <f t="shared" si="57"/>
        <v>1256016.5975483011</v>
      </c>
      <c r="M330" s="39">
        <f t="shared" si="57"/>
        <v>2015721.2719908962</v>
      </c>
    </row>
    <row r="331" spans="4:13" x14ac:dyDescent="0.45">
      <c r="D331">
        <f t="shared" si="56"/>
        <v>326</v>
      </c>
      <c r="E331" s="38">
        <f t="shared" ca="1" si="51"/>
        <v>56004</v>
      </c>
      <c r="F331" s="2">
        <f t="shared" si="52"/>
        <v>5096.651842173218</v>
      </c>
      <c r="G331" s="3">
        <f t="shared" si="53"/>
        <v>1105.5674562603408</v>
      </c>
      <c r="H331" s="2">
        <f t="shared" si="54"/>
        <v>6202.2192984335588</v>
      </c>
      <c r="I331" s="3">
        <f t="shared" si="55"/>
        <v>191448.67371522059</v>
      </c>
      <c r="K331" s="39">
        <f t="shared" si="57"/>
        <v>764801.32628477912</v>
      </c>
      <c r="L331" s="39">
        <f t="shared" si="57"/>
        <v>1257122.1650045614</v>
      </c>
      <c r="M331" s="39">
        <f t="shared" si="57"/>
        <v>2021923.4912893297</v>
      </c>
    </row>
    <row r="332" spans="4:13" x14ac:dyDescent="0.45">
      <c r="D332">
        <f t="shared" si="56"/>
        <v>327</v>
      </c>
      <c r="E332" s="38">
        <f t="shared" ca="1" si="51"/>
        <v>56035</v>
      </c>
      <c r="F332" s="2">
        <f t="shared" si="52"/>
        <v>5125.3205087854421</v>
      </c>
      <c r="G332" s="3">
        <f t="shared" si="53"/>
        <v>1076.8987896481167</v>
      </c>
      <c r="H332" s="2">
        <f t="shared" si="54"/>
        <v>6202.2192984335588</v>
      </c>
      <c r="I332" s="3">
        <f t="shared" si="55"/>
        <v>186323.35320643516</v>
      </c>
      <c r="K332" s="39">
        <f t="shared" si="57"/>
        <v>769926.64679356455</v>
      </c>
      <c r="L332" s="39">
        <f t="shared" si="57"/>
        <v>1258199.0637942096</v>
      </c>
      <c r="M332" s="39">
        <f t="shared" si="57"/>
        <v>2028125.7105877632</v>
      </c>
    </row>
    <row r="333" spans="4:13" x14ac:dyDescent="0.45">
      <c r="D333">
        <f t="shared" si="56"/>
        <v>328</v>
      </c>
      <c r="E333" s="38">
        <f t="shared" ca="1" si="51"/>
        <v>56065</v>
      </c>
      <c r="F333" s="2">
        <f t="shared" si="52"/>
        <v>5154.15043664736</v>
      </c>
      <c r="G333" s="3">
        <f t="shared" si="53"/>
        <v>1048.0688617861988</v>
      </c>
      <c r="H333" s="2">
        <f t="shared" si="54"/>
        <v>6202.2192984335588</v>
      </c>
      <c r="I333" s="3">
        <f t="shared" si="55"/>
        <v>181169.20276978781</v>
      </c>
      <c r="K333" s="39">
        <f t="shared" si="57"/>
        <v>775080.7972302119</v>
      </c>
      <c r="L333" s="39">
        <f t="shared" si="57"/>
        <v>1259247.1326559959</v>
      </c>
      <c r="M333" s="39">
        <f t="shared" si="57"/>
        <v>2034327.9298861967</v>
      </c>
    </row>
    <row r="334" spans="4:13" x14ac:dyDescent="0.45">
      <c r="D334">
        <f t="shared" si="56"/>
        <v>329</v>
      </c>
      <c r="E334" s="38">
        <f t="shared" ca="1" si="51"/>
        <v>56096</v>
      </c>
      <c r="F334" s="2">
        <f t="shared" si="52"/>
        <v>5183.1425328535015</v>
      </c>
      <c r="G334" s="3">
        <f t="shared" si="53"/>
        <v>1019.0767655800573</v>
      </c>
      <c r="H334" s="2">
        <f t="shared" si="54"/>
        <v>6202.2192984335588</v>
      </c>
      <c r="I334" s="3">
        <f t="shared" si="55"/>
        <v>175986.06023693431</v>
      </c>
      <c r="K334" s="39">
        <f t="shared" si="57"/>
        <v>780263.93976306543</v>
      </c>
      <c r="L334" s="39">
        <f t="shared" si="57"/>
        <v>1260266.209421576</v>
      </c>
      <c r="M334" s="39">
        <f t="shared" si="57"/>
        <v>2040530.1491846303</v>
      </c>
    </row>
    <row r="335" spans="4:13" x14ac:dyDescent="0.45">
      <c r="D335">
        <f t="shared" si="56"/>
        <v>330</v>
      </c>
      <c r="E335" s="38">
        <f t="shared" ca="1" si="51"/>
        <v>56127</v>
      </c>
      <c r="F335" s="2">
        <f t="shared" si="52"/>
        <v>5212.2977096008026</v>
      </c>
      <c r="G335" s="3">
        <f t="shared" si="53"/>
        <v>989.92158883275624</v>
      </c>
      <c r="H335" s="2">
        <f t="shared" si="54"/>
        <v>6202.2192984335588</v>
      </c>
      <c r="I335" s="3">
        <f t="shared" si="55"/>
        <v>170773.76252733351</v>
      </c>
      <c r="K335" s="39">
        <f t="shared" si="57"/>
        <v>785476.23747266619</v>
      </c>
      <c r="L335" s="39">
        <f t="shared" si="57"/>
        <v>1261256.1310104087</v>
      </c>
      <c r="M335" s="39">
        <f t="shared" si="57"/>
        <v>2046732.3684830638</v>
      </c>
    </row>
    <row r="336" spans="4:13" x14ac:dyDescent="0.45">
      <c r="D336">
        <f t="shared" si="56"/>
        <v>331</v>
      </c>
      <c r="E336" s="38">
        <f t="shared" ca="1" si="51"/>
        <v>56157</v>
      </c>
      <c r="F336" s="2">
        <f t="shared" si="52"/>
        <v>5241.6168842173074</v>
      </c>
      <c r="G336" s="3">
        <f t="shared" si="53"/>
        <v>960.60241421625142</v>
      </c>
      <c r="H336" s="2">
        <f t="shared" si="54"/>
        <v>6202.2192984335588</v>
      </c>
      <c r="I336" s="3">
        <f t="shared" si="55"/>
        <v>165532.14564311621</v>
      </c>
      <c r="K336" s="39">
        <f t="shared" si="57"/>
        <v>790717.85435688356</v>
      </c>
      <c r="L336" s="39">
        <f t="shared" si="57"/>
        <v>1262216.7334246249</v>
      </c>
      <c r="M336" s="39">
        <f t="shared" si="57"/>
        <v>2052934.5877814973</v>
      </c>
    </row>
    <row r="337" spans="4:13" x14ac:dyDescent="0.45">
      <c r="D337">
        <f t="shared" si="56"/>
        <v>332</v>
      </c>
      <c r="E337" s="38">
        <f t="shared" ca="1" si="51"/>
        <v>56188</v>
      </c>
      <c r="F337" s="2">
        <f t="shared" si="52"/>
        <v>5271.1009791910301</v>
      </c>
      <c r="G337" s="3">
        <f t="shared" si="53"/>
        <v>931.11831924252874</v>
      </c>
      <c r="H337" s="2">
        <f t="shared" si="54"/>
        <v>6202.2192984335588</v>
      </c>
      <c r="I337" s="3">
        <f t="shared" si="55"/>
        <v>160261.04466392519</v>
      </c>
      <c r="K337" s="39">
        <f t="shared" si="57"/>
        <v>795988.95533607458</v>
      </c>
      <c r="L337" s="39">
        <f t="shared" si="57"/>
        <v>1263147.8517438674</v>
      </c>
      <c r="M337" s="39">
        <f t="shared" si="57"/>
        <v>2059136.8070799308</v>
      </c>
    </row>
    <row r="338" spans="4:13" x14ac:dyDescent="0.45">
      <c r="D338">
        <f t="shared" si="56"/>
        <v>333</v>
      </c>
      <c r="E338" s="38">
        <f t="shared" ca="1" si="51"/>
        <v>56218</v>
      </c>
      <c r="F338" s="2">
        <f t="shared" si="52"/>
        <v>5300.7509221989794</v>
      </c>
      <c r="G338" s="3">
        <f t="shared" si="53"/>
        <v>901.46837623457941</v>
      </c>
      <c r="H338" s="2">
        <f t="shared" si="54"/>
        <v>6202.2192984335588</v>
      </c>
      <c r="I338" s="3">
        <f t="shared" si="55"/>
        <v>154960.2937417262</v>
      </c>
      <c r="K338" s="39">
        <f t="shared" si="57"/>
        <v>801289.70625827357</v>
      </c>
      <c r="L338" s="39">
        <f t="shared" si="57"/>
        <v>1264049.320120102</v>
      </c>
      <c r="M338" s="39">
        <f t="shared" si="57"/>
        <v>2065339.0263783643</v>
      </c>
    </row>
    <row r="339" spans="4:13" x14ac:dyDescent="0.45">
      <c r="D339">
        <f t="shared" si="56"/>
        <v>334</v>
      </c>
      <c r="E339" s="38">
        <f t="shared" ca="1" si="51"/>
        <v>56249</v>
      </c>
      <c r="F339" s="2">
        <f t="shared" si="52"/>
        <v>5330.5676461363482</v>
      </c>
      <c r="G339" s="3">
        <f t="shared" si="53"/>
        <v>871.6516522972106</v>
      </c>
      <c r="H339" s="2">
        <f t="shared" si="54"/>
        <v>6202.2192984335588</v>
      </c>
      <c r="I339" s="3">
        <f t="shared" si="55"/>
        <v>149629.72609558984</v>
      </c>
      <c r="K339" s="39">
        <f t="shared" si="57"/>
        <v>806620.27390440996</v>
      </c>
      <c r="L339" s="39">
        <f t="shared" si="57"/>
        <v>1264920.9717723993</v>
      </c>
      <c r="M339" s="39">
        <f t="shared" si="57"/>
        <v>2071541.2456767978</v>
      </c>
    </row>
    <row r="340" spans="4:13" x14ac:dyDescent="0.45">
      <c r="D340">
        <f t="shared" si="56"/>
        <v>335</v>
      </c>
      <c r="E340" s="38">
        <f t="shared" ca="1" si="51"/>
        <v>56280</v>
      </c>
      <c r="F340" s="2">
        <f t="shared" si="52"/>
        <v>5360.5520891458655</v>
      </c>
      <c r="G340" s="3">
        <f t="shared" si="53"/>
        <v>841.66720928769337</v>
      </c>
      <c r="H340" s="2">
        <f t="shared" si="54"/>
        <v>6202.2192984335588</v>
      </c>
      <c r="I340" s="3">
        <f t="shared" si="55"/>
        <v>144269.17400644397</v>
      </c>
      <c r="K340" s="39">
        <f t="shared" si="57"/>
        <v>811980.82599355583</v>
      </c>
      <c r="L340" s="39">
        <f t="shared" si="57"/>
        <v>1265762.6389816869</v>
      </c>
      <c r="M340" s="39">
        <f t="shared" si="57"/>
        <v>2077743.4649752313</v>
      </c>
    </row>
    <row r="341" spans="4:13" x14ac:dyDescent="0.45">
      <c r="D341">
        <f t="shared" si="56"/>
        <v>336</v>
      </c>
      <c r="E341" s="38">
        <f t="shared" ca="1" si="51"/>
        <v>56308</v>
      </c>
      <c r="F341" s="2">
        <f t="shared" si="52"/>
        <v>5390.7051946473102</v>
      </c>
      <c r="G341" s="3">
        <f t="shared" si="53"/>
        <v>811.5141037862486</v>
      </c>
      <c r="H341" s="2">
        <f t="shared" si="54"/>
        <v>6202.2192984335588</v>
      </c>
      <c r="I341" s="3">
        <f t="shared" si="55"/>
        <v>138878.46881179666</v>
      </c>
      <c r="K341" s="39">
        <f t="shared" si="57"/>
        <v>817371.53118820314</v>
      </c>
      <c r="L341" s="39">
        <f t="shared" si="57"/>
        <v>1266574.1530854732</v>
      </c>
      <c r="M341" s="39">
        <f t="shared" si="57"/>
        <v>2083945.6842736648</v>
      </c>
    </row>
    <row r="342" spans="4:13" x14ac:dyDescent="0.45">
      <c r="D342">
        <f t="shared" si="56"/>
        <v>337</v>
      </c>
      <c r="E342" s="38">
        <f t="shared" ca="1" si="51"/>
        <v>56339</v>
      </c>
      <c r="F342" s="2">
        <f t="shared" si="52"/>
        <v>5421.0279113672013</v>
      </c>
      <c r="G342" s="3">
        <f t="shared" si="53"/>
        <v>781.19138706635749</v>
      </c>
      <c r="H342" s="2">
        <f t="shared" si="54"/>
        <v>6202.2192984335588</v>
      </c>
      <c r="I342" s="3">
        <f t="shared" si="55"/>
        <v>133457.44090042944</v>
      </c>
      <c r="K342" s="39">
        <f t="shared" si="57"/>
        <v>822792.55909957038</v>
      </c>
      <c r="L342" s="39">
        <f t="shared" si="57"/>
        <v>1267355.3444725396</v>
      </c>
      <c r="M342" s="39">
        <f t="shared" si="57"/>
        <v>2090147.9035720984</v>
      </c>
    </row>
    <row r="343" spans="4:13" x14ac:dyDescent="0.45">
      <c r="D343">
        <f t="shared" si="56"/>
        <v>338</v>
      </c>
      <c r="E343" s="38">
        <f t="shared" ca="1" si="51"/>
        <v>56369</v>
      </c>
      <c r="F343" s="2">
        <f t="shared" si="52"/>
        <v>5451.5211933686423</v>
      </c>
      <c r="G343" s="3">
        <f t="shared" si="53"/>
        <v>750.69810506491649</v>
      </c>
      <c r="H343" s="2">
        <f t="shared" si="54"/>
        <v>6202.2192984335588</v>
      </c>
      <c r="I343" s="3">
        <f t="shared" si="55"/>
        <v>128005.91970706081</v>
      </c>
      <c r="K343" s="39">
        <f t="shared" si="57"/>
        <v>828244.08029293898</v>
      </c>
      <c r="L343" s="39">
        <f t="shared" si="57"/>
        <v>1268106.0425776045</v>
      </c>
      <c r="M343" s="39">
        <f t="shared" si="57"/>
        <v>2096350.1228705319</v>
      </c>
    </row>
    <row r="344" spans="4:13" x14ac:dyDescent="0.45">
      <c r="D344">
        <f t="shared" si="56"/>
        <v>339</v>
      </c>
      <c r="E344" s="38">
        <f t="shared" ca="1" si="51"/>
        <v>56400</v>
      </c>
      <c r="F344" s="2">
        <f t="shared" si="52"/>
        <v>5482.1860000813413</v>
      </c>
      <c r="G344" s="3">
        <f t="shared" si="53"/>
        <v>720.03329835221757</v>
      </c>
      <c r="H344" s="2">
        <f t="shared" si="54"/>
        <v>6202.2192984335588</v>
      </c>
      <c r="I344" s="3">
        <f t="shared" si="55"/>
        <v>122523.73370697946</v>
      </c>
      <c r="K344" s="39">
        <f t="shared" ref="K344:M359" si="58">K343+F344</f>
        <v>833726.26629302034</v>
      </c>
      <c r="L344" s="39">
        <f t="shared" si="58"/>
        <v>1268826.0758759568</v>
      </c>
      <c r="M344" s="39">
        <f t="shared" si="58"/>
        <v>2102552.3421689654</v>
      </c>
    </row>
    <row r="345" spans="4:13" x14ac:dyDescent="0.45">
      <c r="D345">
        <f t="shared" si="56"/>
        <v>340</v>
      </c>
      <c r="E345" s="38">
        <f t="shared" ca="1" si="51"/>
        <v>56430</v>
      </c>
      <c r="F345" s="2">
        <f t="shared" si="52"/>
        <v>5513.0232963317994</v>
      </c>
      <c r="G345" s="3">
        <f t="shared" si="53"/>
        <v>689.1960021017594</v>
      </c>
      <c r="H345" s="2">
        <f t="shared" si="54"/>
        <v>6202.2192984335588</v>
      </c>
      <c r="I345" s="3">
        <f t="shared" si="55"/>
        <v>117010.71041064766</v>
      </c>
      <c r="K345" s="39">
        <f t="shared" si="58"/>
        <v>839239.28958935209</v>
      </c>
      <c r="L345" s="39">
        <f t="shared" si="58"/>
        <v>1269515.2718780586</v>
      </c>
      <c r="M345" s="39">
        <f t="shared" si="58"/>
        <v>2108754.5614673989</v>
      </c>
    </row>
    <row r="346" spans="4:13" x14ac:dyDescent="0.45">
      <c r="D346">
        <f t="shared" si="56"/>
        <v>341</v>
      </c>
      <c r="E346" s="38">
        <f t="shared" ca="1" si="51"/>
        <v>56461</v>
      </c>
      <c r="F346" s="2">
        <f t="shared" si="52"/>
        <v>5544.034052373665</v>
      </c>
      <c r="G346" s="3">
        <f t="shared" si="53"/>
        <v>658.18524605989387</v>
      </c>
      <c r="H346" s="2">
        <f t="shared" si="54"/>
        <v>6202.2192984335588</v>
      </c>
      <c r="I346" s="3">
        <f t="shared" si="55"/>
        <v>111466.67635827399</v>
      </c>
      <c r="K346" s="39">
        <f t="shared" si="58"/>
        <v>844783.3236417257</v>
      </c>
      <c r="L346" s="39">
        <f t="shared" si="58"/>
        <v>1270173.4571241185</v>
      </c>
      <c r="M346" s="39">
        <f t="shared" si="58"/>
        <v>2114956.7807658324</v>
      </c>
    </row>
    <row r="347" spans="4:13" x14ac:dyDescent="0.45">
      <c r="D347">
        <f t="shared" si="56"/>
        <v>342</v>
      </c>
      <c r="E347" s="38">
        <f t="shared" ca="1" si="51"/>
        <v>56492</v>
      </c>
      <c r="F347" s="2">
        <f t="shared" si="52"/>
        <v>5575.2192439182672</v>
      </c>
      <c r="G347" s="3">
        <f t="shared" si="53"/>
        <v>627.00005451529159</v>
      </c>
      <c r="H347" s="2">
        <f t="shared" si="54"/>
        <v>6202.2192984335588</v>
      </c>
      <c r="I347" s="3">
        <f t="shared" si="55"/>
        <v>105891.45711435573</v>
      </c>
      <c r="K347" s="39">
        <f t="shared" si="58"/>
        <v>850358.54288564401</v>
      </c>
      <c r="L347" s="39">
        <f t="shared" si="58"/>
        <v>1270800.4571786337</v>
      </c>
      <c r="M347" s="39">
        <f t="shared" si="58"/>
        <v>2121159.0000642659</v>
      </c>
    </row>
    <row r="348" spans="4:13" x14ac:dyDescent="0.45">
      <c r="D348">
        <f t="shared" si="56"/>
        <v>343</v>
      </c>
      <c r="E348" s="38">
        <f t="shared" ca="1" si="51"/>
        <v>56522</v>
      </c>
      <c r="F348" s="2">
        <f t="shared" si="52"/>
        <v>5606.5798521653078</v>
      </c>
      <c r="G348" s="3">
        <f t="shared" si="53"/>
        <v>595.63944626825105</v>
      </c>
      <c r="H348" s="2">
        <f t="shared" si="54"/>
        <v>6202.2192984335588</v>
      </c>
      <c r="I348" s="3">
        <f t="shared" si="55"/>
        <v>100284.87726219042</v>
      </c>
      <c r="K348" s="39">
        <f t="shared" si="58"/>
        <v>855965.12273780932</v>
      </c>
      <c r="L348" s="39">
        <f t="shared" si="58"/>
        <v>1271396.096624902</v>
      </c>
      <c r="M348" s="39">
        <f t="shared" si="58"/>
        <v>2127361.2193626994</v>
      </c>
    </row>
    <row r="349" spans="4:13" x14ac:dyDescent="0.45">
      <c r="D349">
        <f t="shared" si="56"/>
        <v>344</v>
      </c>
      <c r="E349" s="38">
        <f t="shared" ca="1" si="51"/>
        <v>56553</v>
      </c>
      <c r="F349" s="2">
        <f t="shared" si="52"/>
        <v>5638.1168638337376</v>
      </c>
      <c r="G349" s="3">
        <f t="shared" si="53"/>
        <v>564.10243459982121</v>
      </c>
      <c r="H349" s="2">
        <f t="shared" si="54"/>
        <v>6202.2192984335588</v>
      </c>
      <c r="I349" s="3">
        <f t="shared" si="55"/>
        <v>94646.760398356681</v>
      </c>
      <c r="K349" s="39">
        <f t="shared" si="58"/>
        <v>861603.23960164306</v>
      </c>
      <c r="L349" s="39">
        <f t="shared" si="58"/>
        <v>1271960.1990595018</v>
      </c>
      <c r="M349" s="39">
        <f t="shared" si="58"/>
        <v>2133563.4386611329</v>
      </c>
    </row>
    <row r="350" spans="4:13" x14ac:dyDescent="0.45">
      <c r="D350">
        <f t="shared" si="56"/>
        <v>345</v>
      </c>
      <c r="E350" s="38">
        <f t="shared" ca="1" si="51"/>
        <v>56583</v>
      </c>
      <c r="F350" s="2">
        <f t="shared" si="52"/>
        <v>5669.831271192802</v>
      </c>
      <c r="G350" s="3">
        <f t="shared" si="53"/>
        <v>532.38802724075686</v>
      </c>
      <c r="H350" s="2">
        <f t="shared" si="54"/>
        <v>6202.2192984335588</v>
      </c>
      <c r="I350" s="3">
        <f t="shared" si="55"/>
        <v>88976.929127163879</v>
      </c>
      <c r="K350" s="39">
        <f t="shared" si="58"/>
        <v>867273.07087283581</v>
      </c>
      <c r="L350" s="39">
        <f t="shared" si="58"/>
        <v>1272492.5870867425</v>
      </c>
      <c r="M350" s="39">
        <f t="shared" si="58"/>
        <v>2139765.6579595665</v>
      </c>
    </row>
    <row r="351" spans="4:13" x14ac:dyDescent="0.45">
      <c r="D351">
        <f t="shared" si="56"/>
        <v>346</v>
      </c>
      <c r="E351" s="38">
        <f t="shared" ca="1" si="51"/>
        <v>56614</v>
      </c>
      <c r="F351" s="2">
        <f t="shared" si="52"/>
        <v>5701.7240720932614</v>
      </c>
      <c r="G351" s="3">
        <f t="shared" si="53"/>
        <v>500.49522634029745</v>
      </c>
      <c r="H351" s="2">
        <f t="shared" si="54"/>
        <v>6202.2192984335588</v>
      </c>
      <c r="I351" s="3">
        <f t="shared" si="55"/>
        <v>83275.205055070619</v>
      </c>
      <c r="K351" s="39">
        <f t="shared" si="58"/>
        <v>872974.79494492908</v>
      </c>
      <c r="L351" s="39">
        <f t="shared" si="58"/>
        <v>1272993.0823130829</v>
      </c>
      <c r="M351" s="39">
        <f t="shared" si="58"/>
        <v>2145967.877258</v>
      </c>
    </row>
    <row r="352" spans="4:13" x14ac:dyDescent="0.45">
      <c r="D352">
        <f t="shared" si="56"/>
        <v>347</v>
      </c>
      <c r="E352" s="38">
        <f t="shared" ca="1" si="51"/>
        <v>56645</v>
      </c>
      <c r="F352" s="2">
        <f t="shared" si="52"/>
        <v>5733.7962699987856</v>
      </c>
      <c r="G352" s="3">
        <f t="shared" si="53"/>
        <v>468.42302843477319</v>
      </c>
      <c r="H352" s="2">
        <f t="shared" si="54"/>
        <v>6202.2192984335588</v>
      </c>
      <c r="I352" s="3">
        <f t="shared" si="55"/>
        <v>77541.408785071835</v>
      </c>
      <c r="K352" s="39">
        <f t="shared" si="58"/>
        <v>878708.59121492784</v>
      </c>
      <c r="L352" s="39">
        <f t="shared" si="58"/>
        <v>1273461.5053415177</v>
      </c>
      <c r="M352" s="39">
        <f t="shared" si="58"/>
        <v>2152170.0965564335</v>
      </c>
    </row>
    <row r="353" spans="4:13" x14ac:dyDescent="0.45">
      <c r="D353">
        <f t="shared" si="56"/>
        <v>348</v>
      </c>
      <c r="E353" s="38">
        <f t="shared" ca="1" si="51"/>
        <v>56673</v>
      </c>
      <c r="F353" s="2">
        <f t="shared" si="52"/>
        <v>5766.0488740175297</v>
      </c>
      <c r="G353" s="3">
        <f t="shared" si="53"/>
        <v>436.17042441602916</v>
      </c>
      <c r="H353" s="2">
        <f t="shared" si="54"/>
        <v>6202.2192984335588</v>
      </c>
      <c r="I353" s="3">
        <f t="shared" si="55"/>
        <v>71775.3599110543</v>
      </c>
      <c r="K353" s="39">
        <f t="shared" si="58"/>
        <v>884474.64008894539</v>
      </c>
      <c r="L353" s="39">
        <f t="shared" si="58"/>
        <v>1273897.6757659337</v>
      </c>
      <c r="M353" s="39">
        <f t="shared" si="58"/>
        <v>2158372.315854867</v>
      </c>
    </row>
    <row r="354" spans="4:13" x14ac:dyDescent="0.45">
      <c r="D354">
        <f t="shared" si="56"/>
        <v>349</v>
      </c>
      <c r="E354" s="38">
        <f t="shared" ca="1" si="51"/>
        <v>56704</v>
      </c>
      <c r="F354" s="2">
        <f t="shared" si="52"/>
        <v>5798.4828989338776</v>
      </c>
      <c r="G354" s="3">
        <f t="shared" si="53"/>
        <v>403.73639949968128</v>
      </c>
      <c r="H354" s="2">
        <f t="shared" si="54"/>
        <v>6202.2192984335588</v>
      </c>
      <c r="I354" s="3">
        <f t="shared" si="55"/>
        <v>65976.877012120429</v>
      </c>
      <c r="K354" s="39">
        <f t="shared" si="58"/>
        <v>890273.12298787932</v>
      </c>
      <c r="L354" s="39">
        <f t="shared" si="58"/>
        <v>1274301.4121654334</v>
      </c>
      <c r="M354" s="39">
        <f t="shared" si="58"/>
        <v>2164574.5351533005</v>
      </c>
    </row>
    <row r="355" spans="4:13" x14ac:dyDescent="0.45">
      <c r="D355">
        <f t="shared" si="56"/>
        <v>350</v>
      </c>
      <c r="E355" s="38">
        <f t="shared" ca="1" si="51"/>
        <v>56734</v>
      </c>
      <c r="F355" s="2">
        <f t="shared" si="52"/>
        <v>5831.0993652403813</v>
      </c>
      <c r="G355" s="3">
        <f t="shared" si="53"/>
        <v>371.11993319317753</v>
      </c>
      <c r="H355" s="2">
        <f t="shared" si="54"/>
        <v>6202.2192984335588</v>
      </c>
      <c r="I355" s="3">
        <f t="shared" si="55"/>
        <v>60145.777646880044</v>
      </c>
      <c r="K355" s="39">
        <f t="shared" si="58"/>
        <v>896104.22235311975</v>
      </c>
      <c r="L355" s="39">
        <f t="shared" si="58"/>
        <v>1274672.5320986265</v>
      </c>
      <c r="M355" s="39">
        <f t="shared" si="58"/>
        <v>2170776.754451734</v>
      </c>
    </row>
    <row r="356" spans="4:13" x14ac:dyDescent="0.45">
      <c r="D356">
        <f t="shared" si="56"/>
        <v>351</v>
      </c>
      <c r="E356" s="38">
        <f t="shared" ca="1" si="51"/>
        <v>56765</v>
      </c>
      <c r="F356" s="2">
        <f t="shared" si="52"/>
        <v>5863.8992991698578</v>
      </c>
      <c r="G356" s="3">
        <f t="shared" si="53"/>
        <v>338.31999926370099</v>
      </c>
      <c r="H356" s="2">
        <f t="shared" si="54"/>
        <v>6202.2192984335588</v>
      </c>
      <c r="I356" s="3">
        <f t="shared" si="55"/>
        <v>54281.878347710182</v>
      </c>
      <c r="K356" s="39">
        <f t="shared" si="58"/>
        <v>901968.12165228964</v>
      </c>
      <c r="L356" s="39">
        <f t="shared" si="58"/>
        <v>1275010.8520978901</v>
      </c>
      <c r="M356" s="39">
        <f t="shared" si="58"/>
        <v>2176978.9737501675</v>
      </c>
    </row>
    <row r="357" spans="4:13" x14ac:dyDescent="0.45">
      <c r="D357">
        <f t="shared" si="56"/>
        <v>352</v>
      </c>
      <c r="E357" s="38">
        <f t="shared" ca="1" si="51"/>
        <v>56795</v>
      </c>
      <c r="F357" s="2">
        <f t="shared" si="52"/>
        <v>5896.8837327276888</v>
      </c>
      <c r="G357" s="3">
        <f t="shared" si="53"/>
        <v>305.33556570587007</v>
      </c>
      <c r="H357" s="2">
        <f t="shared" si="54"/>
        <v>6202.2192984335588</v>
      </c>
      <c r="I357" s="3">
        <f t="shared" si="55"/>
        <v>48384.994614982497</v>
      </c>
      <c r="K357" s="39">
        <f t="shared" si="58"/>
        <v>907865.00538501737</v>
      </c>
      <c r="L357" s="39">
        <f t="shared" si="58"/>
        <v>1275316.1876635959</v>
      </c>
      <c r="M357" s="39">
        <f t="shared" si="58"/>
        <v>2183181.193048601</v>
      </c>
    </row>
    <row r="358" spans="4:13" x14ac:dyDescent="0.45">
      <c r="D358">
        <f t="shared" si="56"/>
        <v>353</v>
      </c>
      <c r="E358" s="38">
        <f t="shared" ca="1" si="51"/>
        <v>56826</v>
      </c>
      <c r="F358" s="2">
        <f t="shared" si="52"/>
        <v>5930.0537037242821</v>
      </c>
      <c r="G358" s="3">
        <f t="shared" si="53"/>
        <v>272.16559470927677</v>
      </c>
      <c r="H358" s="2">
        <f t="shared" si="54"/>
        <v>6202.2192984335588</v>
      </c>
      <c r="I358" s="3">
        <f t="shared" si="55"/>
        <v>42454.940911258214</v>
      </c>
      <c r="K358" s="39">
        <f t="shared" si="58"/>
        <v>913795.05908874166</v>
      </c>
      <c r="L358" s="39">
        <f t="shared" si="58"/>
        <v>1275588.3532583052</v>
      </c>
      <c r="M358" s="39">
        <f t="shared" si="58"/>
        <v>2189383.4123470346</v>
      </c>
    </row>
    <row r="359" spans="4:13" x14ac:dyDescent="0.45">
      <c r="D359">
        <f t="shared" si="56"/>
        <v>354</v>
      </c>
      <c r="E359" s="38">
        <f t="shared" ca="1" si="51"/>
        <v>56857</v>
      </c>
      <c r="F359" s="2">
        <f t="shared" si="52"/>
        <v>5963.4102558077302</v>
      </c>
      <c r="G359" s="3">
        <f t="shared" si="53"/>
        <v>238.80904262582862</v>
      </c>
      <c r="H359" s="2">
        <f t="shared" si="54"/>
        <v>6202.2192984335588</v>
      </c>
      <c r="I359" s="3">
        <f t="shared" si="55"/>
        <v>36491.530655450486</v>
      </c>
      <c r="K359" s="39">
        <f t="shared" si="58"/>
        <v>919758.46934454935</v>
      </c>
      <c r="L359" s="39">
        <f t="shared" si="58"/>
        <v>1275827.1623009311</v>
      </c>
      <c r="M359" s="39">
        <f t="shared" si="58"/>
        <v>2195585.6316454681</v>
      </c>
    </row>
    <row r="360" spans="4:13" x14ac:dyDescent="0.45">
      <c r="D360">
        <f t="shared" si="56"/>
        <v>355</v>
      </c>
      <c r="E360" s="38">
        <f t="shared" ca="1" si="51"/>
        <v>56887</v>
      </c>
      <c r="F360" s="2">
        <f t="shared" si="52"/>
        <v>5996.9544384966503</v>
      </c>
      <c r="G360" s="3">
        <f t="shared" si="53"/>
        <v>205.26485993690858</v>
      </c>
      <c r="H360" s="2">
        <f t="shared" si="54"/>
        <v>6202.2192984335588</v>
      </c>
      <c r="I360" s="3">
        <f t="shared" si="55"/>
        <v>30494.576216953836</v>
      </c>
      <c r="K360" s="39">
        <f t="shared" ref="K360:M365" si="59">K359+F360</f>
        <v>925755.42378304596</v>
      </c>
      <c r="L360" s="39">
        <f t="shared" si="59"/>
        <v>1276032.427160868</v>
      </c>
      <c r="M360" s="39">
        <f t="shared" si="59"/>
        <v>2201787.8509439016</v>
      </c>
    </row>
    <row r="361" spans="4:13" x14ac:dyDescent="0.45">
      <c r="D361">
        <f t="shared" si="56"/>
        <v>356</v>
      </c>
      <c r="E361" s="38">
        <f t="shared" ca="1" si="51"/>
        <v>56918</v>
      </c>
      <c r="F361" s="2">
        <f t="shared" si="52"/>
        <v>6030.687307213193</v>
      </c>
      <c r="G361" s="3">
        <f t="shared" si="53"/>
        <v>171.53199122036585</v>
      </c>
      <c r="H361" s="2">
        <f t="shared" si="54"/>
        <v>6202.2192984335588</v>
      </c>
      <c r="I361" s="3">
        <f t="shared" si="55"/>
        <v>24463.888909740643</v>
      </c>
      <c r="K361" s="39">
        <f t="shared" si="59"/>
        <v>931786.11109025916</v>
      </c>
      <c r="L361" s="39">
        <f t="shared" si="59"/>
        <v>1276203.9591520883</v>
      </c>
      <c r="M361" s="39">
        <f t="shared" si="59"/>
        <v>2207990.0702423351</v>
      </c>
    </row>
    <row r="362" spans="4:13" x14ac:dyDescent="0.45">
      <c r="D362">
        <f t="shared" si="56"/>
        <v>357</v>
      </c>
      <c r="E362" s="38">
        <f t="shared" ca="1" si="51"/>
        <v>56948</v>
      </c>
      <c r="F362" s="2">
        <f t="shared" si="52"/>
        <v>6064.6099233162677</v>
      </c>
      <c r="G362" s="3">
        <f t="shared" si="53"/>
        <v>137.60937511729117</v>
      </c>
      <c r="H362" s="2">
        <f t="shared" si="54"/>
        <v>6202.2192984335588</v>
      </c>
      <c r="I362" s="3">
        <f t="shared" si="55"/>
        <v>18399.278986424375</v>
      </c>
      <c r="K362" s="39">
        <f t="shared" si="59"/>
        <v>937850.72101357544</v>
      </c>
      <c r="L362" s="39">
        <f t="shared" si="59"/>
        <v>1276341.5685272056</v>
      </c>
      <c r="M362" s="39">
        <f t="shared" si="59"/>
        <v>2214192.2895407686</v>
      </c>
    </row>
    <row r="363" spans="4:13" x14ac:dyDescent="0.45">
      <c r="D363">
        <f t="shared" si="56"/>
        <v>358</v>
      </c>
      <c r="E363" s="38">
        <f t="shared" ca="1" si="51"/>
        <v>56979</v>
      </c>
      <c r="F363" s="2">
        <f t="shared" si="52"/>
        <v>6098.7233541349215</v>
      </c>
      <c r="G363" s="3">
        <f t="shared" si="53"/>
        <v>103.49594429863737</v>
      </c>
      <c r="H363" s="2">
        <f t="shared" si="54"/>
        <v>6202.2192984335588</v>
      </c>
      <c r="I363" s="3">
        <f t="shared" si="55"/>
        <v>12300.555632289454</v>
      </c>
      <c r="K363" s="39">
        <f t="shared" si="59"/>
        <v>943949.44436771038</v>
      </c>
      <c r="L363" s="39">
        <f t="shared" si="59"/>
        <v>1276445.0644715042</v>
      </c>
      <c r="M363" s="39">
        <f t="shared" si="59"/>
        <v>2220394.5088392021</v>
      </c>
    </row>
    <row r="364" spans="4:13" x14ac:dyDescent="0.45">
      <c r="D364">
        <f t="shared" si="56"/>
        <v>359</v>
      </c>
      <c r="E364" s="38">
        <f t="shared" ca="1" si="51"/>
        <v>57010</v>
      </c>
      <c r="F364" s="2">
        <f t="shared" si="52"/>
        <v>6133.0286730019297</v>
      </c>
      <c r="G364" s="3">
        <f t="shared" si="53"/>
        <v>69.190625431629087</v>
      </c>
      <c r="H364" s="2">
        <f t="shared" si="54"/>
        <v>6202.2192984335588</v>
      </c>
      <c r="I364" s="3">
        <f t="shared" si="55"/>
        <v>6167.5269592875238</v>
      </c>
      <c r="K364" s="39">
        <f t="shared" si="59"/>
        <v>950082.4730407123</v>
      </c>
      <c r="L364" s="39">
        <f t="shared" si="59"/>
        <v>1276514.2550969359</v>
      </c>
      <c r="M364" s="39">
        <f t="shared" si="59"/>
        <v>2226596.7281376356</v>
      </c>
    </row>
    <row r="365" spans="4:13" x14ac:dyDescent="0.45">
      <c r="D365">
        <f t="shared" si="56"/>
        <v>360</v>
      </c>
      <c r="E365" s="38">
        <f t="shared" ca="1" si="51"/>
        <v>57039</v>
      </c>
      <c r="F365" s="2">
        <f t="shared" si="52"/>
        <v>6167.5269592875666</v>
      </c>
      <c r="G365" s="3">
        <f t="shared" si="53"/>
        <v>34.692339145992264</v>
      </c>
      <c r="H365" s="2">
        <f t="shared" si="54"/>
        <v>6202.2192984335588</v>
      </c>
      <c r="I365" s="3">
        <f t="shared" si="55"/>
        <v>-4.2746250983327627E-11</v>
      </c>
      <c r="K365" s="39">
        <f t="shared" si="59"/>
        <v>956249.99999999988</v>
      </c>
      <c r="L365" s="39">
        <f t="shared" si="59"/>
        <v>1276548.9474360819</v>
      </c>
      <c r="M365" s="39">
        <f t="shared" si="59"/>
        <v>2232798.9474360691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>
    <tabColor theme="1"/>
  </sheetPr>
  <dimension ref="A1:AW41"/>
  <sheetViews>
    <sheetView topLeftCell="B1" workbookViewId="0">
      <selection activeCell="C36" sqref="C36"/>
    </sheetView>
  </sheetViews>
  <sheetFormatPr defaultColWidth="9.1328125" defaultRowHeight="14.25" outlineLevelRow="1" x14ac:dyDescent="0.45"/>
  <cols>
    <col min="1" max="1" width="9.1328125" style="5" hidden="1" customWidth="1"/>
    <col min="2" max="2" width="41.1328125" style="5" bestFit="1" customWidth="1"/>
    <col min="3" max="3" width="13.265625" style="5" bestFit="1" customWidth="1"/>
    <col min="4" max="4" width="1.73046875" style="5" customWidth="1"/>
    <col min="5" max="5" width="6.265625" style="5" bestFit="1" customWidth="1"/>
    <col min="6" max="6" width="7.265625" style="5" bestFit="1" customWidth="1"/>
    <col min="7" max="7" width="8.265625" style="5" bestFit="1" customWidth="1"/>
    <col min="8" max="9" width="8.265625" style="5" customWidth="1"/>
    <col min="10" max="10" width="7.265625" style="5" bestFit="1" customWidth="1"/>
    <col min="11" max="11" width="9.1328125" style="5"/>
    <col min="12" max="12" width="23.1328125" style="5" bestFit="1" customWidth="1"/>
    <col min="13" max="13" width="56.59765625" style="5" customWidth="1"/>
    <col min="14" max="14" width="4.1328125" style="5" bestFit="1" customWidth="1"/>
    <col min="15" max="15" width="18.59765625" style="5" bestFit="1" customWidth="1"/>
    <col min="16" max="16" width="11.59765625" style="5" bestFit="1" customWidth="1"/>
    <col min="17" max="18" width="11.86328125" style="5" bestFit="1" customWidth="1"/>
    <col min="19" max="19" width="8.265625" style="5" bestFit="1" customWidth="1"/>
    <col min="20" max="20" width="9.1328125" style="5"/>
    <col min="21" max="21" width="13.1328125" style="5" bestFit="1" customWidth="1"/>
    <col min="22" max="22" width="11.59765625" style="5" bestFit="1" customWidth="1"/>
    <col min="23" max="23" width="11.86328125" style="5" bestFit="1" customWidth="1"/>
    <col min="24" max="24" width="11.59765625" style="5" bestFit="1" customWidth="1"/>
    <col min="25" max="25" width="11.86328125" style="5" bestFit="1" customWidth="1"/>
    <col min="26" max="34" width="9.86328125" style="5" bestFit="1" customWidth="1"/>
    <col min="35" max="35" width="9.1328125" style="5"/>
    <col min="36" max="36" width="14.265625" style="5" bestFit="1" customWidth="1"/>
    <col min="37" max="37" width="16.59765625" style="5" hidden="1" customWidth="1"/>
    <col min="38" max="38" width="0" style="5" hidden="1" customWidth="1"/>
    <col min="39" max="49" width="9.86328125" style="5" bestFit="1" customWidth="1"/>
    <col min="50" max="16384" width="9.1328125" style="5"/>
  </cols>
  <sheetData>
    <row r="1" spans="1:22" x14ac:dyDescent="0.45">
      <c r="B1" s="7" t="s">
        <v>16</v>
      </c>
      <c r="C1" s="8" t="s">
        <v>6</v>
      </c>
      <c r="D1" s="4"/>
      <c r="E1" s="7" t="s">
        <v>7</v>
      </c>
      <c r="F1" s="9" t="s">
        <v>8</v>
      </c>
      <c r="G1" s="9" t="s">
        <v>9</v>
      </c>
      <c r="H1" s="8" t="s">
        <v>10</v>
      </c>
      <c r="I1" s="9" t="s">
        <v>88</v>
      </c>
      <c r="J1" s="8" t="s">
        <v>89</v>
      </c>
      <c r="L1" s="5" t="s">
        <v>33</v>
      </c>
    </row>
    <row r="2" spans="1:22" x14ac:dyDescent="0.45">
      <c r="B2" s="10" t="s">
        <v>11</v>
      </c>
      <c r="C2" s="11"/>
      <c r="E2" s="10"/>
      <c r="J2" s="12"/>
      <c r="L2" s="5" t="s">
        <v>35</v>
      </c>
      <c r="M2" s="13"/>
    </row>
    <row r="3" spans="1:22" x14ac:dyDescent="0.45">
      <c r="B3" s="10" t="s">
        <v>21</v>
      </c>
      <c r="C3" s="14">
        <v>0.25</v>
      </c>
      <c r="E3" s="10"/>
      <c r="J3" s="12"/>
      <c r="L3" s="5" t="s">
        <v>34</v>
      </c>
    </row>
    <row r="4" spans="1:22" x14ac:dyDescent="0.45">
      <c r="B4" s="10" t="s">
        <v>22</v>
      </c>
      <c r="C4" s="15">
        <f>C2*C3</f>
        <v>0</v>
      </c>
      <c r="E4" s="10"/>
      <c r="J4" s="12"/>
      <c r="L4" s="5" t="s">
        <v>4</v>
      </c>
    </row>
    <row r="5" spans="1:22" x14ac:dyDescent="0.45">
      <c r="A5" s="56" t="e">
        <f>SUM(E5:J5)/SUM(E5:J5)</f>
        <v>#DIV/0!</v>
      </c>
      <c r="B5" s="10" t="s">
        <v>0</v>
      </c>
      <c r="C5" s="15" t="e">
        <f>SUM(E5:J5)*A5</f>
        <v>#DIV/0!</v>
      </c>
      <c r="E5" s="16"/>
      <c r="F5" s="17"/>
      <c r="G5" s="17"/>
      <c r="H5" s="62"/>
      <c r="I5" s="62"/>
      <c r="J5" s="11"/>
      <c r="L5" s="5" t="s">
        <v>3</v>
      </c>
    </row>
    <row r="6" spans="1:22" x14ac:dyDescent="0.45">
      <c r="B6" s="10" t="s">
        <v>41</v>
      </c>
      <c r="C6" s="15" t="e">
        <f>C5*12</f>
        <v>#DIV/0!</v>
      </c>
      <c r="E6" s="10"/>
      <c r="J6" s="12"/>
      <c r="L6" s="5" t="s">
        <v>5</v>
      </c>
    </row>
    <row r="7" spans="1:22" x14ac:dyDescent="0.45">
      <c r="B7" s="10" t="s">
        <v>2</v>
      </c>
      <c r="C7" s="15">
        <f>COUNT(E5:J5)</f>
        <v>0</v>
      </c>
      <c r="E7" s="10"/>
      <c r="J7" s="12"/>
      <c r="L7" s="5" t="s">
        <v>44</v>
      </c>
      <c r="M7" s="53"/>
    </row>
    <row r="8" spans="1:22" x14ac:dyDescent="0.45">
      <c r="B8" s="10" t="s">
        <v>43</v>
      </c>
      <c r="C8" s="15">
        <f>SUM(E8:J8)</f>
        <v>0</v>
      </c>
      <c r="D8" s="18"/>
      <c r="E8" s="16"/>
      <c r="F8" s="17"/>
      <c r="G8" s="17"/>
      <c r="H8" s="62"/>
      <c r="I8" s="62"/>
      <c r="J8" s="11"/>
      <c r="L8" s="5" t="s">
        <v>45</v>
      </c>
    </row>
    <row r="9" spans="1:22" x14ac:dyDescent="0.45">
      <c r="B9" s="10" t="s">
        <v>1</v>
      </c>
      <c r="C9" s="19" t="e">
        <f>C2/(C5*12)</f>
        <v>#DIV/0!</v>
      </c>
      <c r="E9" s="10"/>
      <c r="J9" s="12"/>
      <c r="L9" s="5" t="s">
        <v>81</v>
      </c>
      <c r="M9" s="59"/>
      <c r="V9" s="18"/>
    </row>
    <row r="10" spans="1:22" ht="14.65" thickBot="1" x14ac:dyDescent="0.5">
      <c r="B10" s="10" t="s">
        <v>42</v>
      </c>
      <c r="C10" s="20">
        <f>MIN(E10:J10)</f>
        <v>0</v>
      </c>
      <c r="E10" s="21"/>
      <c r="F10" s="22"/>
      <c r="G10" s="22"/>
      <c r="H10" s="63"/>
      <c r="I10" s="63"/>
      <c r="J10" s="23"/>
      <c r="L10" s="5" t="s">
        <v>80</v>
      </c>
    </row>
    <row r="11" spans="1:22" x14ac:dyDescent="0.45">
      <c r="B11" s="10" t="s">
        <v>27</v>
      </c>
      <c r="C11" s="11"/>
    </row>
    <row r="12" spans="1:22" x14ac:dyDescent="0.45">
      <c r="B12" s="10" t="s">
        <v>28</v>
      </c>
      <c r="C12" s="11"/>
    </row>
    <row r="13" spans="1:22" x14ac:dyDescent="0.45">
      <c r="B13" s="10" t="s">
        <v>29</v>
      </c>
      <c r="C13" s="15">
        <f>C12/12</f>
        <v>0</v>
      </c>
    </row>
    <row r="14" spans="1:22" x14ac:dyDescent="0.45">
      <c r="B14" s="10" t="s">
        <v>36</v>
      </c>
      <c r="C14" s="11"/>
    </row>
    <row r="15" spans="1:22" x14ac:dyDescent="0.45">
      <c r="B15" s="10" t="s">
        <v>37</v>
      </c>
      <c r="C15" s="15">
        <f>C14/12</f>
        <v>0</v>
      </c>
    </row>
    <row r="16" spans="1:22" x14ac:dyDescent="0.45">
      <c r="B16" s="10" t="s">
        <v>12</v>
      </c>
      <c r="C16" s="15">
        <f>C17*12</f>
        <v>0</v>
      </c>
    </row>
    <row r="17" spans="2:9" x14ac:dyDescent="0.45">
      <c r="B17" s="10" t="s">
        <v>38</v>
      </c>
      <c r="C17" s="15">
        <f>SUM(C18:C20)</f>
        <v>0</v>
      </c>
    </row>
    <row r="18" spans="2:9" hidden="1" outlineLevel="1" x14ac:dyDescent="0.45">
      <c r="B18" s="60" t="s">
        <v>82</v>
      </c>
      <c r="C18" s="11"/>
    </row>
    <row r="19" spans="2:9" hidden="1" outlineLevel="1" x14ac:dyDescent="0.45">
      <c r="B19" s="60" t="s">
        <v>83</v>
      </c>
      <c r="C19" s="11"/>
    </row>
    <row r="20" spans="2:9" hidden="1" outlineLevel="1" x14ac:dyDescent="0.45">
      <c r="B20" s="60" t="s">
        <v>84</v>
      </c>
      <c r="C20" s="11"/>
    </row>
    <row r="21" spans="2:9" hidden="1" collapsed="1" x14ac:dyDescent="0.45">
      <c r="B21" s="10" t="s">
        <v>39</v>
      </c>
      <c r="C21" s="11">
        <v>0</v>
      </c>
      <c r="G21" s="6"/>
      <c r="H21" s="6"/>
      <c r="I21" s="6"/>
    </row>
    <row r="22" spans="2:9" x14ac:dyDescent="0.45">
      <c r="B22" s="10" t="s">
        <v>40</v>
      </c>
      <c r="C22" s="15">
        <f>C21/12</f>
        <v>0</v>
      </c>
    </row>
    <row r="23" spans="2:9" hidden="1" x14ac:dyDescent="0.45">
      <c r="B23" s="10" t="s">
        <v>13</v>
      </c>
      <c r="C23" s="11">
        <v>0</v>
      </c>
    </row>
    <row r="24" spans="2:9" x14ac:dyDescent="0.45">
      <c r="B24" s="10" t="s">
        <v>14</v>
      </c>
      <c r="C24" s="15" t="e">
        <f>C5+C13+C15+C17+C22+(C23/12)</f>
        <v>#DIV/0!</v>
      </c>
    </row>
    <row r="25" spans="2:9" ht="14.65" thickBot="1" x14ac:dyDescent="0.5">
      <c r="B25" s="24" t="s">
        <v>15</v>
      </c>
      <c r="C25" s="25">
        <f>-'Mortgage and Ammortization'!B6</f>
        <v>-6202.2192984335588</v>
      </c>
      <c r="E25" s="6"/>
    </row>
    <row r="26" spans="2:9" ht="3" customHeight="1" thickBot="1" x14ac:dyDescent="0.5">
      <c r="C26" s="26"/>
    </row>
    <row r="27" spans="2:9" ht="14.65" thickBot="1" x14ac:dyDescent="0.5">
      <c r="B27" s="27" t="s">
        <v>17</v>
      </c>
      <c r="C27" s="28" t="e">
        <f>C24+C25</f>
        <v>#DIV/0!</v>
      </c>
    </row>
    <row r="28" spans="2:9" ht="3" customHeight="1" thickBot="1" x14ac:dyDescent="0.5">
      <c r="C28" s="26"/>
    </row>
    <row r="29" spans="2:9" x14ac:dyDescent="0.45">
      <c r="B29" s="29" t="s">
        <v>24</v>
      </c>
      <c r="C29" s="30" t="e">
        <f>C24*12</f>
        <v>#DIV/0!</v>
      </c>
    </row>
    <row r="30" spans="2:9" ht="14.65" thickBot="1" x14ac:dyDescent="0.5">
      <c r="B30" s="24" t="s">
        <v>25</v>
      </c>
      <c r="C30" s="25">
        <f>C25*12</f>
        <v>-74426.631581202702</v>
      </c>
    </row>
    <row r="31" spans="2:9" ht="3" customHeight="1" thickBot="1" x14ac:dyDescent="0.5">
      <c r="C31" s="26"/>
    </row>
    <row r="32" spans="2:9" ht="14.65" thickBot="1" x14ac:dyDescent="0.5">
      <c r="B32" s="27" t="s">
        <v>18</v>
      </c>
      <c r="C32" s="28" t="e">
        <f>C29+C30</f>
        <v>#DIV/0!</v>
      </c>
    </row>
    <row r="33" spans="2:49" ht="3" customHeight="1" thickBot="1" x14ac:dyDescent="0.5"/>
    <row r="34" spans="2:49" x14ac:dyDescent="0.45">
      <c r="B34" s="29" t="s">
        <v>19</v>
      </c>
      <c r="C34" s="31" t="e">
        <f>C29/C2</f>
        <v>#DIV/0!</v>
      </c>
    </row>
    <row r="35" spans="2:49" x14ac:dyDescent="0.45">
      <c r="B35" s="10" t="s">
        <v>26</v>
      </c>
      <c r="C35" s="19" t="e">
        <f>C29/-C30</f>
        <v>#DIV/0!</v>
      </c>
      <c r="O35"/>
      <c r="P35" s="57"/>
      <c r="Q35"/>
      <c r="R35"/>
      <c r="S35" s="57"/>
      <c r="W35" s="6"/>
      <c r="X35" s="3"/>
      <c r="Y35" s="6"/>
      <c r="Z35" s="6"/>
      <c r="AA35" s="6"/>
      <c r="AB35" s="6"/>
      <c r="AC35" s="6"/>
      <c r="AD35" s="6"/>
      <c r="AE35" s="6"/>
      <c r="AF35" s="6"/>
      <c r="AG35" s="6"/>
      <c r="AH35" s="6"/>
      <c r="AL35" s="6"/>
      <c r="AM35" s="3"/>
      <c r="AN35" s="6"/>
      <c r="AO35" s="6"/>
      <c r="AP35" s="6"/>
      <c r="AQ35" s="6"/>
      <c r="AR35" s="6"/>
      <c r="AS35" s="6"/>
      <c r="AT35" s="6"/>
      <c r="AU35" s="6"/>
      <c r="AV35" s="6"/>
      <c r="AW35" s="6"/>
    </row>
    <row r="36" spans="2:49" x14ac:dyDescent="0.45">
      <c r="B36" s="10" t="s">
        <v>20</v>
      </c>
      <c r="C36" s="52" t="e">
        <f>C32/C4</f>
        <v>#DIV/0!</v>
      </c>
      <c r="O36" s="3"/>
      <c r="P36" s="54"/>
      <c r="Q36"/>
      <c r="R36" s="3"/>
      <c r="S36" s="55"/>
      <c r="U36" s="58"/>
      <c r="V36" s="58"/>
      <c r="W36" s="55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J36" s="58"/>
      <c r="AK36" s="58"/>
      <c r="AL36" s="55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</row>
    <row r="37" spans="2:49" ht="14.65" thickBot="1" x14ac:dyDescent="0.5">
      <c r="B37" s="24" t="s">
        <v>76</v>
      </c>
      <c r="C37" s="32" t="e">
        <f>'Total Returns'!B17</f>
        <v>#DIV/0!</v>
      </c>
      <c r="O37" s="3"/>
      <c r="P37" s="54"/>
      <c r="Q37"/>
      <c r="R37" s="3"/>
      <c r="S37" s="55"/>
      <c r="U37" s="58"/>
      <c r="V37" s="58"/>
      <c r="W37" s="55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J37" s="58"/>
      <c r="AK37" s="58"/>
      <c r="AL37" s="55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</row>
    <row r="39" spans="2:49" x14ac:dyDescent="0.45">
      <c r="B39" s="5" t="s">
        <v>85</v>
      </c>
      <c r="C39" s="5">
        <f>C4/4</f>
        <v>0</v>
      </c>
    </row>
    <row r="40" spans="2:49" x14ac:dyDescent="0.45">
      <c r="B40" s="5" t="s">
        <v>86</v>
      </c>
      <c r="C40" s="26">
        <v>50000</v>
      </c>
    </row>
    <row r="41" spans="2:49" x14ac:dyDescent="0.45">
      <c r="B41" s="5" t="s">
        <v>87</v>
      </c>
      <c r="C41" s="26">
        <f>(C4-C40)/3</f>
        <v>-16666.666666666668</v>
      </c>
    </row>
  </sheetData>
  <conditionalFormatting sqref="C9">
    <cfRule type="cellIs" dxfId="5" priority="1" operator="greaterThan">
      <formula>15</formula>
    </cfRule>
    <cfRule type="cellIs" dxfId="4" priority="2" operator="lessThan">
      <formula>15</formula>
    </cfRule>
  </conditionalFormatting>
  <conditionalFormatting sqref="C34">
    <cfRule type="cellIs" dxfId="3" priority="5" operator="greaterThan">
      <formula>0.055</formula>
    </cfRule>
    <cfRule type="cellIs" dxfId="2" priority="6" operator="lessThan">
      <formula>0.055</formula>
    </cfRule>
  </conditionalFormatting>
  <conditionalFormatting sqref="C35">
    <cfRule type="cellIs" dxfId="1" priority="3" operator="greaterThan">
      <formula>1.4</formula>
    </cfRule>
    <cfRule type="cellIs" dxfId="0" priority="4" operator="lessThan">
      <formula>1.4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DV23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J22" sqref="J22"/>
    </sheetView>
  </sheetViews>
  <sheetFormatPr defaultRowHeight="14.25" x14ac:dyDescent="0.45"/>
  <cols>
    <col min="1" max="1" width="24.3984375" bestFit="1" customWidth="1"/>
    <col min="2" max="2" width="7.86328125" bestFit="1" customWidth="1"/>
    <col min="4" max="4" width="9.73046875" bestFit="1" customWidth="1"/>
    <col min="5" max="5" width="17.59765625" bestFit="1" customWidth="1"/>
    <col min="6" max="6" width="9.86328125" bestFit="1" customWidth="1"/>
    <col min="7" max="7" width="11.1328125" bestFit="1" customWidth="1"/>
    <col min="8" max="9" width="9.86328125" bestFit="1" customWidth="1"/>
    <col min="10" max="18" width="10.73046875" bestFit="1" customWidth="1"/>
    <col min="19" max="19" width="10.73046875" style="44" bestFit="1" customWidth="1"/>
    <col min="20" max="126" width="10.73046875" bestFit="1" customWidth="1"/>
  </cols>
  <sheetData>
    <row r="1" spans="1:126" hidden="1" x14ac:dyDescent="0.45">
      <c r="D1" s="38"/>
      <c r="E1" t="s">
        <v>46</v>
      </c>
      <c r="F1">
        <v>0</v>
      </c>
      <c r="G1">
        <f>F1+1</f>
        <v>1</v>
      </c>
      <c r="H1">
        <f>G1+1</f>
        <v>2</v>
      </c>
      <c r="I1">
        <f>H1+1</f>
        <v>3</v>
      </c>
      <c r="J1">
        <f>I1+1</f>
        <v>4</v>
      </c>
      <c r="K1">
        <f>J1+1</f>
        <v>5</v>
      </c>
      <c r="L1">
        <f t="shared" ref="L1:Q1" si="0">K1+1</f>
        <v>6</v>
      </c>
      <c r="M1">
        <f t="shared" si="0"/>
        <v>7</v>
      </c>
      <c r="N1">
        <f t="shared" si="0"/>
        <v>8</v>
      </c>
      <c r="O1">
        <f t="shared" si="0"/>
        <v>9</v>
      </c>
      <c r="P1">
        <f t="shared" si="0"/>
        <v>10</v>
      </c>
      <c r="Q1">
        <f t="shared" si="0"/>
        <v>11</v>
      </c>
      <c r="R1">
        <f t="shared" ref="R1:AO1" si="1">Q1+1</f>
        <v>12</v>
      </c>
      <c r="S1" s="44">
        <f t="shared" si="1"/>
        <v>13</v>
      </c>
      <c r="T1">
        <f t="shared" si="1"/>
        <v>14</v>
      </c>
      <c r="U1">
        <f t="shared" si="1"/>
        <v>15</v>
      </c>
      <c r="V1">
        <f t="shared" si="1"/>
        <v>16</v>
      </c>
      <c r="W1">
        <f t="shared" si="1"/>
        <v>17</v>
      </c>
      <c r="X1">
        <f t="shared" si="1"/>
        <v>18</v>
      </c>
      <c r="Y1">
        <f t="shared" si="1"/>
        <v>19</v>
      </c>
      <c r="Z1">
        <f t="shared" si="1"/>
        <v>20</v>
      </c>
      <c r="AA1">
        <f t="shared" si="1"/>
        <v>21</v>
      </c>
      <c r="AB1">
        <f t="shared" si="1"/>
        <v>22</v>
      </c>
      <c r="AC1">
        <f t="shared" si="1"/>
        <v>23</v>
      </c>
      <c r="AD1">
        <f t="shared" si="1"/>
        <v>24</v>
      </c>
      <c r="AE1">
        <f t="shared" si="1"/>
        <v>25</v>
      </c>
      <c r="AF1">
        <f t="shared" si="1"/>
        <v>26</v>
      </c>
      <c r="AG1">
        <f t="shared" si="1"/>
        <v>27</v>
      </c>
      <c r="AH1">
        <f t="shared" si="1"/>
        <v>28</v>
      </c>
      <c r="AI1">
        <f t="shared" si="1"/>
        <v>29</v>
      </c>
      <c r="AJ1">
        <f t="shared" si="1"/>
        <v>30</v>
      </c>
      <c r="AK1">
        <f t="shared" si="1"/>
        <v>31</v>
      </c>
      <c r="AL1">
        <f t="shared" si="1"/>
        <v>32</v>
      </c>
      <c r="AM1">
        <f t="shared" si="1"/>
        <v>33</v>
      </c>
      <c r="AN1">
        <f t="shared" si="1"/>
        <v>34</v>
      </c>
      <c r="AO1">
        <f t="shared" si="1"/>
        <v>35</v>
      </c>
      <c r="AP1">
        <f t="shared" ref="AP1:BG1" si="2">AO1+1</f>
        <v>36</v>
      </c>
      <c r="AQ1">
        <f t="shared" si="2"/>
        <v>37</v>
      </c>
      <c r="AR1">
        <f t="shared" si="2"/>
        <v>38</v>
      </c>
      <c r="AS1">
        <f t="shared" si="2"/>
        <v>39</v>
      </c>
      <c r="AT1">
        <f t="shared" si="2"/>
        <v>40</v>
      </c>
      <c r="AU1">
        <f t="shared" si="2"/>
        <v>41</v>
      </c>
      <c r="AV1">
        <f t="shared" si="2"/>
        <v>42</v>
      </c>
      <c r="AW1">
        <f t="shared" si="2"/>
        <v>43</v>
      </c>
      <c r="AX1">
        <f t="shared" si="2"/>
        <v>44</v>
      </c>
      <c r="AY1">
        <f t="shared" si="2"/>
        <v>45</v>
      </c>
      <c r="AZ1">
        <f t="shared" si="2"/>
        <v>46</v>
      </c>
      <c r="BA1">
        <f t="shared" si="2"/>
        <v>47</v>
      </c>
      <c r="BB1">
        <f t="shared" si="2"/>
        <v>48</v>
      </c>
      <c r="BC1">
        <f t="shared" si="2"/>
        <v>49</v>
      </c>
      <c r="BD1">
        <f t="shared" si="2"/>
        <v>50</v>
      </c>
      <c r="BE1">
        <f t="shared" si="2"/>
        <v>51</v>
      </c>
      <c r="BF1">
        <f t="shared" si="2"/>
        <v>52</v>
      </c>
      <c r="BG1">
        <f t="shared" si="2"/>
        <v>53</v>
      </c>
      <c r="BH1">
        <f t="shared" ref="BH1:BM1" si="3">BG1+1</f>
        <v>54</v>
      </c>
      <c r="BI1">
        <f t="shared" si="3"/>
        <v>55</v>
      </c>
      <c r="BJ1">
        <f t="shared" si="3"/>
        <v>56</v>
      </c>
      <c r="BK1">
        <f t="shared" si="3"/>
        <v>57</v>
      </c>
      <c r="BL1">
        <f t="shared" si="3"/>
        <v>58</v>
      </c>
      <c r="BM1">
        <f t="shared" si="3"/>
        <v>59</v>
      </c>
      <c r="BN1">
        <f t="shared" ref="BN1:CK1" si="4">BM1+1</f>
        <v>60</v>
      </c>
      <c r="BO1">
        <f t="shared" si="4"/>
        <v>61</v>
      </c>
      <c r="BP1">
        <f t="shared" si="4"/>
        <v>62</v>
      </c>
      <c r="BQ1">
        <f t="shared" si="4"/>
        <v>63</v>
      </c>
      <c r="BR1">
        <f t="shared" si="4"/>
        <v>64</v>
      </c>
      <c r="BS1">
        <f t="shared" si="4"/>
        <v>65</v>
      </c>
      <c r="BT1">
        <f t="shared" si="4"/>
        <v>66</v>
      </c>
      <c r="BU1">
        <f t="shared" si="4"/>
        <v>67</v>
      </c>
      <c r="BV1">
        <f t="shared" si="4"/>
        <v>68</v>
      </c>
      <c r="BW1">
        <f t="shared" si="4"/>
        <v>69</v>
      </c>
      <c r="BX1">
        <f t="shared" si="4"/>
        <v>70</v>
      </c>
      <c r="BY1">
        <f t="shared" si="4"/>
        <v>71</v>
      </c>
      <c r="BZ1">
        <f t="shared" si="4"/>
        <v>72</v>
      </c>
      <c r="CA1">
        <f t="shared" si="4"/>
        <v>73</v>
      </c>
      <c r="CB1">
        <f t="shared" si="4"/>
        <v>74</v>
      </c>
      <c r="CC1">
        <f t="shared" si="4"/>
        <v>75</v>
      </c>
      <c r="CD1">
        <f t="shared" si="4"/>
        <v>76</v>
      </c>
      <c r="CE1">
        <f t="shared" si="4"/>
        <v>77</v>
      </c>
      <c r="CF1">
        <f t="shared" si="4"/>
        <v>78</v>
      </c>
      <c r="CG1">
        <f t="shared" si="4"/>
        <v>79</v>
      </c>
      <c r="CH1">
        <f t="shared" si="4"/>
        <v>80</v>
      </c>
      <c r="CI1">
        <f t="shared" si="4"/>
        <v>81</v>
      </c>
      <c r="CJ1">
        <f t="shared" si="4"/>
        <v>82</v>
      </c>
      <c r="CK1">
        <f t="shared" si="4"/>
        <v>83</v>
      </c>
      <c r="CL1">
        <f t="shared" ref="CL1:DU1" si="5">CK1+1</f>
        <v>84</v>
      </c>
      <c r="CM1">
        <f t="shared" si="5"/>
        <v>85</v>
      </c>
      <c r="CN1">
        <f t="shared" si="5"/>
        <v>86</v>
      </c>
      <c r="CO1">
        <f t="shared" si="5"/>
        <v>87</v>
      </c>
      <c r="CP1">
        <f t="shared" si="5"/>
        <v>88</v>
      </c>
      <c r="CQ1">
        <f t="shared" si="5"/>
        <v>89</v>
      </c>
      <c r="CR1">
        <f t="shared" si="5"/>
        <v>90</v>
      </c>
      <c r="CS1">
        <f t="shared" si="5"/>
        <v>91</v>
      </c>
      <c r="CT1">
        <f t="shared" si="5"/>
        <v>92</v>
      </c>
      <c r="CU1">
        <f t="shared" si="5"/>
        <v>93</v>
      </c>
      <c r="CV1">
        <f t="shared" si="5"/>
        <v>94</v>
      </c>
      <c r="CW1">
        <f t="shared" si="5"/>
        <v>95</v>
      </c>
      <c r="CX1">
        <f t="shared" si="5"/>
        <v>96</v>
      </c>
      <c r="CY1">
        <f t="shared" si="5"/>
        <v>97</v>
      </c>
      <c r="CZ1">
        <f t="shared" si="5"/>
        <v>98</v>
      </c>
      <c r="DA1">
        <f t="shared" si="5"/>
        <v>99</v>
      </c>
      <c r="DB1">
        <f t="shared" si="5"/>
        <v>100</v>
      </c>
      <c r="DC1">
        <f t="shared" si="5"/>
        <v>101</v>
      </c>
      <c r="DD1">
        <f t="shared" si="5"/>
        <v>102</v>
      </c>
      <c r="DE1">
        <f t="shared" si="5"/>
        <v>103</v>
      </c>
      <c r="DF1">
        <f t="shared" si="5"/>
        <v>104</v>
      </c>
      <c r="DG1">
        <f t="shared" si="5"/>
        <v>105</v>
      </c>
      <c r="DH1">
        <f t="shared" si="5"/>
        <v>106</v>
      </c>
      <c r="DI1">
        <f t="shared" si="5"/>
        <v>107</v>
      </c>
      <c r="DJ1">
        <f t="shared" si="5"/>
        <v>108</v>
      </c>
      <c r="DK1">
        <f t="shared" si="5"/>
        <v>109</v>
      </c>
      <c r="DL1">
        <f t="shared" si="5"/>
        <v>110</v>
      </c>
      <c r="DM1">
        <f t="shared" si="5"/>
        <v>111</v>
      </c>
      <c r="DN1">
        <f t="shared" si="5"/>
        <v>112</v>
      </c>
      <c r="DO1">
        <f t="shared" si="5"/>
        <v>113</v>
      </c>
      <c r="DP1">
        <f t="shared" si="5"/>
        <v>114</v>
      </c>
      <c r="DQ1">
        <f t="shared" si="5"/>
        <v>115</v>
      </c>
      <c r="DR1">
        <f t="shared" si="5"/>
        <v>116</v>
      </c>
      <c r="DS1">
        <f t="shared" si="5"/>
        <v>117</v>
      </c>
      <c r="DT1">
        <f t="shared" si="5"/>
        <v>118</v>
      </c>
      <c r="DU1">
        <f t="shared" si="5"/>
        <v>119</v>
      </c>
      <c r="DV1">
        <f>DU1+1</f>
        <v>120</v>
      </c>
    </row>
    <row r="2" spans="1:126" x14ac:dyDescent="0.45">
      <c r="E2" t="s">
        <v>56</v>
      </c>
      <c r="F2" s="38">
        <f ca="1">'Mortgage and Ammortization'!$E$5</f>
        <v>46081</v>
      </c>
      <c r="G2" s="38">
        <f ca="1">EOMONTH(F2,1)</f>
        <v>46112</v>
      </c>
      <c r="H2" s="38">
        <f ca="1">EOMONTH(G2,1)</f>
        <v>46142</v>
      </c>
      <c r="I2" s="38">
        <f ca="1">EOMONTH(H2,1)</f>
        <v>46173</v>
      </c>
      <c r="J2" s="38">
        <f ca="1">EOMONTH(I2,1)</f>
        <v>46203</v>
      </c>
      <c r="K2" s="38">
        <f ca="1">EOMONTH(J2,1)</f>
        <v>46234</v>
      </c>
      <c r="L2" s="38">
        <f t="shared" ref="L2:Q2" ca="1" si="6">EOMONTH(K2,1)</f>
        <v>46265</v>
      </c>
      <c r="M2" s="38">
        <f t="shared" ca="1" si="6"/>
        <v>46295</v>
      </c>
      <c r="N2" s="38">
        <f t="shared" ca="1" si="6"/>
        <v>46326</v>
      </c>
      <c r="O2" s="38">
        <f t="shared" ca="1" si="6"/>
        <v>46356</v>
      </c>
      <c r="P2" s="38">
        <f t="shared" ca="1" si="6"/>
        <v>46387</v>
      </c>
      <c r="Q2" s="38">
        <f t="shared" ca="1" si="6"/>
        <v>46418</v>
      </c>
      <c r="R2" s="38">
        <f t="shared" ref="R2:AO2" ca="1" si="7">EOMONTH(Q2,1)</f>
        <v>46446</v>
      </c>
      <c r="S2" s="45">
        <f t="shared" ca="1" si="7"/>
        <v>46477</v>
      </c>
      <c r="T2" s="38">
        <f t="shared" ca="1" si="7"/>
        <v>46507</v>
      </c>
      <c r="U2" s="38">
        <f t="shared" ca="1" si="7"/>
        <v>46538</v>
      </c>
      <c r="V2" s="38">
        <f t="shared" ca="1" si="7"/>
        <v>46568</v>
      </c>
      <c r="W2" s="38">
        <f t="shared" ca="1" si="7"/>
        <v>46599</v>
      </c>
      <c r="X2" s="38">
        <f t="shared" ca="1" si="7"/>
        <v>46630</v>
      </c>
      <c r="Y2" s="38">
        <f t="shared" ca="1" si="7"/>
        <v>46660</v>
      </c>
      <c r="Z2" s="38">
        <f t="shared" ca="1" si="7"/>
        <v>46691</v>
      </c>
      <c r="AA2" s="38">
        <f t="shared" ca="1" si="7"/>
        <v>46721</v>
      </c>
      <c r="AB2" s="38">
        <f t="shared" ca="1" si="7"/>
        <v>46752</v>
      </c>
      <c r="AC2" s="38">
        <f t="shared" ca="1" si="7"/>
        <v>46783</v>
      </c>
      <c r="AD2" s="38">
        <f t="shared" ca="1" si="7"/>
        <v>46812</v>
      </c>
      <c r="AE2" s="38">
        <f t="shared" ca="1" si="7"/>
        <v>46843</v>
      </c>
      <c r="AF2" s="38">
        <f t="shared" ca="1" si="7"/>
        <v>46873</v>
      </c>
      <c r="AG2" s="38">
        <f t="shared" ca="1" si="7"/>
        <v>46904</v>
      </c>
      <c r="AH2" s="38">
        <f t="shared" ca="1" si="7"/>
        <v>46934</v>
      </c>
      <c r="AI2" s="38">
        <f t="shared" ca="1" si="7"/>
        <v>46965</v>
      </c>
      <c r="AJ2" s="38">
        <f t="shared" ca="1" si="7"/>
        <v>46996</v>
      </c>
      <c r="AK2" s="38">
        <f t="shared" ca="1" si="7"/>
        <v>47026</v>
      </c>
      <c r="AL2" s="38">
        <f t="shared" ca="1" si="7"/>
        <v>47057</v>
      </c>
      <c r="AM2" s="38">
        <f t="shared" ca="1" si="7"/>
        <v>47087</v>
      </c>
      <c r="AN2" s="38">
        <f t="shared" ca="1" si="7"/>
        <v>47118</v>
      </c>
      <c r="AO2" s="38">
        <f t="shared" ca="1" si="7"/>
        <v>47149</v>
      </c>
      <c r="AP2" s="38">
        <f t="shared" ref="AP2:BG2" ca="1" si="8">EOMONTH(AO2,1)</f>
        <v>47177</v>
      </c>
      <c r="AQ2" s="38">
        <f t="shared" ca="1" si="8"/>
        <v>47208</v>
      </c>
      <c r="AR2" s="38">
        <f t="shared" ca="1" si="8"/>
        <v>47238</v>
      </c>
      <c r="AS2" s="38">
        <f t="shared" ca="1" si="8"/>
        <v>47269</v>
      </c>
      <c r="AT2" s="38">
        <f t="shared" ca="1" si="8"/>
        <v>47299</v>
      </c>
      <c r="AU2" s="38">
        <f t="shared" ca="1" si="8"/>
        <v>47330</v>
      </c>
      <c r="AV2" s="38">
        <f t="shared" ca="1" si="8"/>
        <v>47361</v>
      </c>
      <c r="AW2" s="38">
        <f t="shared" ca="1" si="8"/>
        <v>47391</v>
      </c>
      <c r="AX2" s="38">
        <f t="shared" ca="1" si="8"/>
        <v>47422</v>
      </c>
      <c r="AY2" s="38">
        <f t="shared" ca="1" si="8"/>
        <v>47452</v>
      </c>
      <c r="AZ2" s="38">
        <f t="shared" ca="1" si="8"/>
        <v>47483</v>
      </c>
      <c r="BA2" s="38">
        <f t="shared" ca="1" si="8"/>
        <v>47514</v>
      </c>
      <c r="BB2" s="38">
        <f t="shared" ca="1" si="8"/>
        <v>47542</v>
      </c>
      <c r="BC2" s="38">
        <f t="shared" ca="1" si="8"/>
        <v>47573</v>
      </c>
      <c r="BD2" s="38">
        <f t="shared" ca="1" si="8"/>
        <v>47603</v>
      </c>
      <c r="BE2" s="38">
        <f t="shared" ca="1" si="8"/>
        <v>47634</v>
      </c>
      <c r="BF2" s="38">
        <f t="shared" ca="1" si="8"/>
        <v>47664</v>
      </c>
      <c r="BG2" s="38">
        <f t="shared" ca="1" si="8"/>
        <v>47695</v>
      </c>
      <c r="BH2" s="38">
        <f t="shared" ref="BH2:BM2" ca="1" si="9">EOMONTH(BG2,1)</f>
        <v>47726</v>
      </c>
      <c r="BI2" s="38">
        <f t="shared" ca="1" si="9"/>
        <v>47756</v>
      </c>
      <c r="BJ2" s="38">
        <f t="shared" ca="1" si="9"/>
        <v>47787</v>
      </c>
      <c r="BK2" s="38">
        <f t="shared" ca="1" si="9"/>
        <v>47817</v>
      </c>
      <c r="BL2" s="38">
        <f t="shared" ca="1" si="9"/>
        <v>47848</v>
      </c>
      <c r="BM2" s="38">
        <f t="shared" ca="1" si="9"/>
        <v>47879</v>
      </c>
      <c r="BN2" s="38">
        <f t="shared" ref="BN2:CK2" ca="1" si="10">EOMONTH(BM2,1)</f>
        <v>47907</v>
      </c>
      <c r="BO2" s="38">
        <f t="shared" ca="1" si="10"/>
        <v>47938</v>
      </c>
      <c r="BP2" s="38">
        <f t="shared" ca="1" si="10"/>
        <v>47968</v>
      </c>
      <c r="BQ2" s="38">
        <f t="shared" ca="1" si="10"/>
        <v>47999</v>
      </c>
      <c r="BR2" s="38">
        <f t="shared" ca="1" si="10"/>
        <v>48029</v>
      </c>
      <c r="BS2" s="38">
        <f t="shared" ca="1" si="10"/>
        <v>48060</v>
      </c>
      <c r="BT2" s="38">
        <f t="shared" ca="1" si="10"/>
        <v>48091</v>
      </c>
      <c r="BU2" s="38">
        <f t="shared" ca="1" si="10"/>
        <v>48121</v>
      </c>
      <c r="BV2" s="38">
        <f t="shared" ca="1" si="10"/>
        <v>48152</v>
      </c>
      <c r="BW2" s="38">
        <f t="shared" ca="1" si="10"/>
        <v>48182</v>
      </c>
      <c r="BX2" s="38">
        <f t="shared" ca="1" si="10"/>
        <v>48213</v>
      </c>
      <c r="BY2" s="38">
        <f t="shared" ca="1" si="10"/>
        <v>48244</v>
      </c>
      <c r="BZ2" s="38">
        <f t="shared" ca="1" si="10"/>
        <v>48273</v>
      </c>
      <c r="CA2" s="38">
        <f t="shared" ca="1" si="10"/>
        <v>48304</v>
      </c>
      <c r="CB2" s="38">
        <f t="shared" ca="1" si="10"/>
        <v>48334</v>
      </c>
      <c r="CC2" s="38">
        <f t="shared" ca="1" si="10"/>
        <v>48365</v>
      </c>
      <c r="CD2" s="38">
        <f t="shared" ca="1" si="10"/>
        <v>48395</v>
      </c>
      <c r="CE2" s="38">
        <f t="shared" ca="1" si="10"/>
        <v>48426</v>
      </c>
      <c r="CF2" s="38">
        <f t="shared" ca="1" si="10"/>
        <v>48457</v>
      </c>
      <c r="CG2" s="38">
        <f t="shared" ca="1" si="10"/>
        <v>48487</v>
      </c>
      <c r="CH2" s="38">
        <f t="shared" ca="1" si="10"/>
        <v>48518</v>
      </c>
      <c r="CI2" s="38">
        <f t="shared" ca="1" si="10"/>
        <v>48548</v>
      </c>
      <c r="CJ2" s="38">
        <f t="shared" ca="1" si="10"/>
        <v>48579</v>
      </c>
      <c r="CK2" s="38">
        <f t="shared" ca="1" si="10"/>
        <v>48610</v>
      </c>
      <c r="CL2" s="38">
        <f t="shared" ref="CL2:DU2" ca="1" si="11">EOMONTH(CK2,1)</f>
        <v>48638</v>
      </c>
      <c r="CM2" s="38">
        <f t="shared" ca="1" si="11"/>
        <v>48669</v>
      </c>
      <c r="CN2" s="38">
        <f t="shared" ca="1" si="11"/>
        <v>48699</v>
      </c>
      <c r="CO2" s="38">
        <f t="shared" ca="1" si="11"/>
        <v>48730</v>
      </c>
      <c r="CP2" s="38">
        <f t="shared" ca="1" si="11"/>
        <v>48760</v>
      </c>
      <c r="CQ2" s="38">
        <f t="shared" ca="1" si="11"/>
        <v>48791</v>
      </c>
      <c r="CR2" s="38">
        <f t="shared" ca="1" si="11"/>
        <v>48822</v>
      </c>
      <c r="CS2" s="38">
        <f t="shared" ca="1" si="11"/>
        <v>48852</v>
      </c>
      <c r="CT2" s="38">
        <f t="shared" ca="1" si="11"/>
        <v>48883</v>
      </c>
      <c r="CU2" s="38">
        <f t="shared" ca="1" si="11"/>
        <v>48913</v>
      </c>
      <c r="CV2" s="38">
        <f t="shared" ca="1" si="11"/>
        <v>48944</v>
      </c>
      <c r="CW2" s="38">
        <f t="shared" ca="1" si="11"/>
        <v>48975</v>
      </c>
      <c r="CX2" s="38">
        <f t="shared" ca="1" si="11"/>
        <v>49003</v>
      </c>
      <c r="CY2" s="38">
        <f t="shared" ca="1" si="11"/>
        <v>49034</v>
      </c>
      <c r="CZ2" s="38">
        <f t="shared" ca="1" si="11"/>
        <v>49064</v>
      </c>
      <c r="DA2" s="38">
        <f t="shared" ca="1" si="11"/>
        <v>49095</v>
      </c>
      <c r="DB2" s="38">
        <f t="shared" ca="1" si="11"/>
        <v>49125</v>
      </c>
      <c r="DC2" s="38">
        <f t="shared" ca="1" si="11"/>
        <v>49156</v>
      </c>
      <c r="DD2" s="38">
        <f t="shared" ca="1" si="11"/>
        <v>49187</v>
      </c>
      <c r="DE2" s="38">
        <f t="shared" ca="1" si="11"/>
        <v>49217</v>
      </c>
      <c r="DF2" s="38">
        <f t="shared" ca="1" si="11"/>
        <v>49248</v>
      </c>
      <c r="DG2" s="38">
        <f t="shared" ca="1" si="11"/>
        <v>49278</v>
      </c>
      <c r="DH2" s="38">
        <f t="shared" ca="1" si="11"/>
        <v>49309</v>
      </c>
      <c r="DI2" s="38">
        <f t="shared" ca="1" si="11"/>
        <v>49340</v>
      </c>
      <c r="DJ2" s="38">
        <f t="shared" ca="1" si="11"/>
        <v>49368</v>
      </c>
      <c r="DK2" s="38">
        <f t="shared" ca="1" si="11"/>
        <v>49399</v>
      </c>
      <c r="DL2" s="38">
        <f t="shared" ca="1" si="11"/>
        <v>49429</v>
      </c>
      <c r="DM2" s="38">
        <f t="shared" ca="1" si="11"/>
        <v>49460</v>
      </c>
      <c r="DN2" s="38">
        <f t="shared" ca="1" si="11"/>
        <v>49490</v>
      </c>
      <c r="DO2" s="38">
        <f t="shared" ca="1" si="11"/>
        <v>49521</v>
      </c>
      <c r="DP2" s="38">
        <f t="shared" ca="1" si="11"/>
        <v>49552</v>
      </c>
      <c r="DQ2" s="38">
        <f t="shared" ca="1" si="11"/>
        <v>49582</v>
      </c>
      <c r="DR2" s="38">
        <f t="shared" ca="1" si="11"/>
        <v>49613</v>
      </c>
      <c r="DS2" s="38">
        <f t="shared" ca="1" si="11"/>
        <v>49643</v>
      </c>
      <c r="DT2" s="38">
        <f t="shared" ca="1" si="11"/>
        <v>49674</v>
      </c>
      <c r="DU2" s="38">
        <f t="shared" ca="1" si="11"/>
        <v>49705</v>
      </c>
      <c r="DV2" s="38">
        <f ca="1">EOMONTH(DU2,1)</f>
        <v>49734</v>
      </c>
    </row>
    <row r="3" spans="1:126" ht="3" customHeight="1" x14ac:dyDescent="0.45"/>
    <row r="4" spans="1:126" x14ac:dyDescent="0.45">
      <c r="A4" t="s">
        <v>54</v>
      </c>
      <c r="B4" s="41">
        <v>0</v>
      </c>
      <c r="E4" t="s">
        <v>57</v>
      </c>
      <c r="F4" s="3">
        <f>'Deal Screen Template'!$C$2</f>
        <v>0</v>
      </c>
      <c r="G4" s="3">
        <f>F4*(1+($B$4/12))</f>
        <v>0</v>
      </c>
      <c r="H4" s="3">
        <f>G4*(1+($B$4/12))</f>
        <v>0</v>
      </c>
      <c r="I4" s="3">
        <f>H4*(1+($B$4/12))</f>
        <v>0</v>
      </c>
      <c r="J4" s="3">
        <f>I4*(1+($B$4/12))</f>
        <v>0</v>
      </c>
      <c r="K4" s="3">
        <f>J4*(1+($B$4/12))</f>
        <v>0</v>
      </c>
      <c r="L4" s="3">
        <f t="shared" ref="L4:Q4" si="12">K4*(1+($B$4/12))</f>
        <v>0</v>
      </c>
      <c r="M4" s="3">
        <f t="shared" si="12"/>
        <v>0</v>
      </c>
      <c r="N4" s="3">
        <f t="shared" si="12"/>
        <v>0</v>
      </c>
      <c r="O4" s="3">
        <f t="shared" si="12"/>
        <v>0</v>
      </c>
      <c r="P4" s="3">
        <f t="shared" si="12"/>
        <v>0</v>
      </c>
      <c r="Q4" s="3">
        <f t="shared" si="12"/>
        <v>0</v>
      </c>
      <c r="R4" s="3">
        <f t="shared" ref="R4:AO4" si="13">Q4*(1+($B$4/12))</f>
        <v>0</v>
      </c>
      <c r="S4" s="46">
        <f t="shared" si="13"/>
        <v>0</v>
      </c>
      <c r="T4" s="3">
        <f t="shared" si="13"/>
        <v>0</v>
      </c>
      <c r="U4" s="3">
        <f t="shared" si="13"/>
        <v>0</v>
      </c>
      <c r="V4" s="3">
        <f t="shared" si="13"/>
        <v>0</v>
      </c>
      <c r="W4" s="3">
        <f t="shared" si="13"/>
        <v>0</v>
      </c>
      <c r="X4" s="3">
        <f t="shared" si="13"/>
        <v>0</v>
      </c>
      <c r="Y4" s="3">
        <f t="shared" si="13"/>
        <v>0</v>
      </c>
      <c r="Z4" s="3">
        <f t="shared" si="13"/>
        <v>0</v>
      </c>
      <c r="AA4" s="3">
        <f t="shared" si="13"/>
        <v>0</v>
      </c>
      <c r="AB4" s="3">
        <f t="shared" si="13"/>
        <v>0</v>
      </c>
      <c r="AC4" s="3">
        <f t="shared" si="13"/>
        <v>0</v>
      </c>
      <c r="AD4" s="3">
        <f t="shared" si="13"/>
        <v>0</v>
      </c>
      <c r="AE4" s="3">
        <f t="shared" si="13"/>
        <v>0</v>
      </c>
      <c r="AF4" s="3">
        <f t="shared" si="13"/>
        <v>0</v>
      </c>
      <c r="AG4" s="3">
        <f t="shared" si="13"/>
        <v>0</v>
      </c>
      <c r="AH4" s="3">
        <f t="shared" si="13"/>
        <v>0</v>
      </c>
      <c r="AI4" s="3">
        <f t="shared" si="13"/>
        <v>0</v>
      </c>
      <c r="AJ4" s="3">
        <f t="shared" si="13"/>
        <v>0</v>
      </c>
      <c r="AK4" s="3">
        <f t="shared" si="13"/>
        <v>0</v>
      </c>
      <c r="AL4" s="3">
        <f t="shared" si="13"/>
        <v>0</v>
      </c>
      <c r="AM4" s="3">
        <f t="shared" si="13"/>
        <v>0</v>
      </c>
      <c r="AN4" s="3">
        <f t="shared" si="13"/>
        <v>0</v>
      </c>
      <c r="AO4" s="3">
        <f t="shared" si="13"/>
        <v>0</v>
      </c>
      <c r="AP4" s="3">
        <f t="shared" ref="AP4:BG4" si="14">AO4*(1+($B$4/12))</f>
        <v>0</v>
      </c>
      <c r="AQ4" s="3">
        <f t="shared" si="14"/>
        <v>0</v>
      </c>
      <c r="AR4" s="3">
        <f t="shared" si="14"/>
        <v>0</v>
      </c>
      <c r="AS4" s="3">
        <f t="shared" si="14"/>
        <v>0</v>
      </c>
      <c r="AT4" s="3">
        <f t="shared" si="14"/>
        <v>0</v>
      </c>
      <c r="AU4" s="3">
        <f t="shared" si="14"/>
        <v>0</v>
      </c>
      <c r="AV4" s="3">
        <f t="shared" si="14"/>
        <v>0</v>
      </c>
      <c r="AW4" s="3">
        <f t="shared" si="14"/>
        <v>0</v>
      </c>
      <c r="AX4" s="3">
        <f t="shared" si="14"/>
        <v>0</v>
      </c>
      <c r="AY4" s="3">
        <f t="shared" si="14"/>
        <v>0</v>
      </c>
      <c r="AZ4" s="3">
        <f t="shared" si="14"/>
        <v>0</v>
      </c>
      <c r="BA4" s="3">
        <f t="shared" si="14"/>
        <v>0</v>
      </c>
      <c r="BB4" s="3">
        <f t="shared" si="14"/>
        <v>0</v>
      </c>
      <c r="BC4" s="3">
        <f t="shared" si="14"/>
        <v>0</v>
      </c>
      <c r="BD4" s="3">
        <f t="shared" si="14"/>
        <v>0</v>
      </c>
      <c r="BE4" s="3">
        <f t="shared" si="14"/>
        <v>0</v>
      </c>
      <c r="BF4" s="3">
        <f t="shared" si="14"/>
        <v>0</v>
      </c>
      <c r="BG4" s="3">
        <f t="shared" si="14"/>
        <v>0</v>
      </c>
      <c r="BH4" s="3">
        <f t="shared" ref="BH4:BM4" si="15">BG4*(1+($B$4/12))</f>
        <v>0</v>
      </c>
      <c r="BI4" s="3">
        <f t="shared" si="15"/>
        <v>0</v>
      </c>
      <c r="BJ4" s="3">
        <f t="shared" si="15"/>
        <v>0</v>
      </c>
      <c r="BK4" s="3">
        <f t="shared" si="15"/>
        <v>0</v>
      </c>
      <c r="BL4" s="3">
        <f t="shared" si="15"/>
        <v>0</v>
      </c>
      <c r="BM4" s="3">
        <f t="shared" si="15"/>
        <v>0</v>
      </c>
      <c r="BN4" s="3">
        <f t="shared" ref="BN4:CK4" si="16">BM4*(1+($B$4/12))</f>
        <v>0</v>
      </c>
      <c r="BO4" s="3">
        <f t="shared" si="16"/>
        <v>0</v>
      </c>
      <c r="BP4" s="3">
        <f t="shared" si="16"/>
        <v>0</v>
      </c>
      <c r="BQ4" s="3">
        <f t="shared" si="16"/>
        <v>0</v>
      </c>
      <c r="BR4" s="3">
        <f t="shared" si="16"/>
        <v>0</v>
      </c>
      <c r="BS4" s="3">
        <f t="shared" si="16"/>
        <v>0</v>
      </c>
      <c r="BT4" s="3">
        <f t="shared" si="16"/>
        <v>0</v>
      </c>
      <c r="BU4" s="3">
        <f t="shared" si="16"/>
        <v>0</v>
      </c>
      <c r="BV4" s="3">
        <f t="shared" si="16"/>
        <v>0</v>
      </c>
      <c r="BW4" s="3">
        <f t="shared" si="16"/>
        <v>0</v>
      </c>
      <c r="BX4" s="3">
        <f t="shared" si="16"/>
        <v>0</v>
      </c>
      <c r="BY4" s="3">
        <f t="shared" si="16"/>
        <v>0</v>
      </c>
      <c r="BZ4" s="3">
        <f t="shared" si="16"/>
        <v>0</v>
      </c>
      <c r="CA4" s="3">
        <f t="shared" si="16"/>
        <v>0</v>
      </c>
      <c r="CB4" s="3">
        <f t="shared" si="16"/>
        <v>0</v>
      </c>
      <c r="CC4" s="3">
        <f t="shared" si="16"/>
        <v>0</v>
      </c>
      <c r="CD4" s="3">
        <f t="shared" si="16"/>
        <v>0</v>
      </c>
      <c r="CE4" s="3">
        <f t="shared" si="16"/>
        <v>0</v>
      </c>
      <c r="CF4" s="3">
        <f t="shared" si="16"/>
        <v>0</v>
      </c>
      <c r="CG4" s="3">
        <f t="shared" si="16"/>
        <v>0</v>
      </c>
      <c r="CH4" s="3">
        <f t="shared" si="16"/>
        <v>0</v>
      </c>
      <c r="CI4" s="3">
        <f t="shared" si="16"/>
        <v>0</v>
      </c>
      <c r="CJ4" s="3">
        <f t="shared" si="16"/>
        <v>0</v>
      </c>
      <c r="CK4" s="3">
        <f t="shared" si="16"/>
        <v>0</v>
      </c>
      <c r="CL4" s="3">
        <f t="shared" ref="CL4:DU4" si="17">CK4*(1+($B$4/12))</f>
        <v>0</v>
      </c>
      <c r="CM4" s="3">
        <f t="shared" si="17"/>
        <v>0</v>
      </c>
      <c r="CN4" s="3">
        <f t="shared" si="17"/>
        <v>0</v>
      </c>
      <c r="CO4" s="3">
        <f t="shared" si="17"/>
        <v>0</v>
      </c>
      <c r="CP4" s="3">
        <f t="shared" si="17"/>
        <v>0</v>
      </c>
      <c r="CQ4" s="3">
        <f t="shared" si="17"/>
        <v>0</v>
      </c>
      <c r="CR4" s="3">
        <f t="shared" si="17"/>
        <v>0</v>
      </c>
      <c r="CS4" s="3">
        <f t="shared" si="17"/>
        <v>0</v>
      </c>
      <c r="CT4" s="3">
        <f t="shared" si="17"/>
        <v>0</v>
      </c>
      <c r="CU4" s="3">
        <f t="shared" si="17"/>
        <v>0</v>
      </c>
      <c r="CV4" s="3">
        <f t="shared" si="17"/>
        <v>0</v>
      </c>
      <c r="CW4" s="3">
        <f t="shared" si="17"/>
        <v>0</v>
      </c>
      <c r="CX4" s="3">
        <f t="shared" si="17"/>
        <v>0</v>
      </c>
      <c r="CY4" s="3">
        <f t="shared" si="17"/>
        <v>0</v>
      </c>
      <c r="CZ4" s="3">
        <f t="shared" si="17"/>
        <v>0</v>
      </c>
      <c r="DA4" s="3">
        <f t="shared" si="17"/>
        <v>0</v>
      </c>
      <c r="DB4" s="3">
        <f t="shared" si="17"/>
        <v>0</v>
      </c>
      <c r="DC4" s="3">
        <f t="shared" si="17"/>
        <v>0</v>
      </c>
      <c r="DD4" s="3">
        <f t="shared" si="17"/>
        <v>0</v>
      </c>
      <c r="DE4" s="3">
        <f t="shared" si="17"/>
        <v>0</v>
      </c>
      <c r="DF4" s="3">
        <f t="shared" si="17"/>
        <v>0</v>
      </c>
      <c r="DG4" s="3">
        <f t="shared" si="17"/>
        <v>0</v>
      </c>
      <c r="DH4" s="3">
        <f t="shared" si="17"/>
        <v>0</v>
      </c>
      <c r="DI4" s="3">
        <f t="shared" si="17"/>
        <v>0</v>
      </c>
      <c r="DJ4" s="3">
        <f t="shared" si="17"/>
        <v>0</v>
      </c>
      <c r="DK4" s="3">
        <f t="shared" si="17"/>
        <v>0</v>
      </c>
      <c r="DL4" s="3">
        <f t="shared" si="17"/>
        <v>0</v>
      </c>
      <c r="DM4" s="3">
        <f t="shared" si="17"/>
        <v>0</v>
      </c>
      <c r="DN4" s="3">
        <f t="shared" si="17"/>
        <v>0</v>
      </c>
      <c r="DO4" s="3">
        <f t="shared" si="17"/>
        <v>0</v>
      </c>
      <c r="DP4" s="3">
        <f t="shared" si="17"/>
        <v>0</v>
      </c>
      <c r="DQ4" s="3">
        <f t="shared" si="17"/>
        <v>0</v>
      </c>
      <c r="DR4" s="3">
        <f t="shared" si="17"/>
        <v>0</v>
      </c>
      <c r="DS4" s="3">
        <f t="shared" si="17"/>
        <v>0</v>
      </c>
      <c r="DT4" s="3">
        <f t="shared" si="17"/>
        <v>0</v>
      </c>
      <c r="DU4" s="3">
        <f t="shared" si="17"/>
        <v>0</v>
      </c>
      <c r="DV4" s="3">
        <f>DU4*(1+($B$4/12))</f>
        <v>0</v>
      </c>
    </row>
    <row r="5" spans="1:126" x14ac:dyDescent="0.45">
      <c r="A5" t="s">
        <v>55</v>
      </c>
      <c r="B5" s="41">
        <v>0</v>
      </c>
      <c r="E5" t="s">
        <v>58</v>
      </c>
      <c r="F5" s="3">
        <f>VLOOKUP(F1,'Mortgage and Ammortization'!$D:$I,6,FALSE)</f>
        <v>956250</v>
      </c>
      <c r="G5" s="3">
        <f>VLOOKUP(G1,'Mortgage and Ammortization'!$D:$I,6,FALSE)</f>
        <v>955426.68695156649</v>
      </c>
      <c r="H5" s="3">
        <f>VLOOKUP(H1,'Mortgage and Ammortization'!$D:$I,6,FALSE)</f>
        <v>954598.7427672355</v>
      </c>
      <c r="I5" s="3">
        <f>VLOOKUP(I1,'Mortgage and Ammortization'!$D:$I,6,FALSE)</f>
        <v>953766.14139686769</v>
      </c>
      <c r="J5" s="3">
        <f>VLOOKUP(J1,'Mortgage and Ammortization'!$D:$I,6,FALSE)</f>
        <v>952928.85664379154</v>
      </c>
      <c r="K5" s="3">
        <f>VLOOKUP(K1,'Mortgage and Ammortization'!$D:$I,6,FALSE)</f>
        <v>952086.86216397933</v>
      </c>
      <c r="L5" s="3">
        <f>VLOOKUP(L1,'Mortgage and Ammortization'!$D:$I,6,FALSE)</f>
        <v>951240.13146521815</v>
      </c>
      <c r="M5" s="3">
        <f>VLOOKUP(M1,'Mortgage and Ammortization'!$D:$I,6,FALSE)</f>
        <v>950388.63790627639</v>
      </c>
      <c r="N5" s="3">
        <f>VLOOKUP(N1,'Mortgage and Ammortization'!$D:$I,6,FALSE)</f>
        <v>949532.35469606565</v>
      </c>
      <c r="O5" s="3">
        <f>VLOOKUP(O1,'Mortgage and Ammortization'!$D:$I,6,FALSE)</f>
        <v>948671.25489279744</v>
      </c>
      <c r="P5" s="3">
        <f>VLOOKUP(P1,'Mortgage and Ammortization'!$D:$I,6,FALSE)</f>
        <v>947805.31140313589</v>
      </c>
      <c r="Q5" s="3">
        <f>VLOOKUP(Q1,'Mortgage and Ammortization'!$D:$I,6,FALSE)</f>
        <v>946934.496981345</v>
      </c>
      <c r="R5" s="3">
        <f>VLOOKUP(R1,'Mortgage and Ammortization'!$D:$I,6,FALSE)</f>
        <v>946058.78422843153</v>
      </c>
      <c r="S5" s="46">
        <f>VLOOKUP(S1,'Mortgage and Ammortization'!$D:$I,6,FALSE)</f>
        <v>945178.14559128287</v>
      </c>
      <c r="T5" s="3">
        <f>VLOOKUP(T1,'Mortgage and Ammortization'!$D:$I,6,FALSE)</f>
        <v>944292.55336180027</v>
      </c>
      <c r="U5" s="3">
        <f>VLOOKUP(U1,'Mortgage and Ammortization'!$D:$I,6,FALSE)</f>
        <v>943401.97967602685</v>
      </c>
      <c r="V5" s="3">
        <f>VLOOKUP(V1,'Mortgage and Ammortization'!$D:$I,6,FALSE)</f>
        <v>942506.39651327091</v>
      </c>
      <c r="W5" s="3">
        <f>VLOOKUP(W1,'Mortgage and Ammortization'!$D:$I,6,FALSE)</f>
        <v>941605.77569522453</v>
      </c>
      <c r="X5" s="3">
        <f>VLOOKUP(X1,'Mortgage and Ammortization'!$D:$I,6,FALSE)</f>
        <v>940700.08888507658</v>
      </c>
      <c r="Y5" s="3">
        <f>VLOOKUP(Y1,'Mortgage and Ammortization'!$D:$I,6,FALSE)</f>
        <v>939789.30758662161</v>
      </c>
      <c r="Z5" s="3">
        <f>VLOOKUP(Z1,'Mortgage and Ammortization'!$D:$I,6,FALSE)</f>
        <v>938873.40314336284</v>
      </c>
      <c r="AA5" s="3">
        <f>VLOOKUP(AA1,'Mortgage and Ammortization'!$D:$I,6,FALSE)</f>
        <v>937952.34673761064</v>
      </c>
      <c r="AB5" s="3">
        <f>VLOOKUP(AB1,'Mortgage and Ammortization'!$D:$I,6,FALSE)</f>
        <v>937026.10938957613</v>
      </c>
      <c r="AC5" s="3">
        <f>VLOOKUP(AC1,'Mortgage and Ammortization'!$D:$I,6,FALSE)</f>
        <v>936094.66195645893</v>
      </c>
      <c r="AD5" s="3">
        <f>VLOOKUP(AD1,'Mortgage and Ammortization'!$D:$I,6,FALSE)</f>
        <v>935157.97513153043</v>
      </c>
      <c r="AE5" s="3">
        <f>VLOOKUP(AE1,'Mortgage and Ammortization'!$D:$I,6,FALSE)</f>
        <v>934216.01944321173</v>
      </c>
      <c r="AF5" s="3">
        <f>VLOOKUP(AF1,'Mortgage and Ammortization'!$D:$I,6,FALSE)</f>
        <v>933268.76525414619</v>
      </c>
      <c r="AG5" s="3">
        <f>VLOOKUP(AG1,'Mortgage and Ammortization'!$D:$I,6,FALSE)</f>
        <v>932316.18276026717</v>
      </c>
      <c r="AH5" s="3">
        <f>VLOOKUP(AH1,'Mortgage and Ammortization'!$D:$I,6,FALSE)</f>
        <v>931358.24198986008</v>
      </c>
      <c r="AI5" s="3">
        <f>VLOOKUP(AI1,'Mortgage and Ammortization'!$D:$I,6,FALSE)</f>
        <v>930394.91280261951</v>
      </c>
      <c r="AJ5" s="3">
        <f>VLOOKUP(AJ1,'Mortgage and Ammortization'!$D:$I,6,FALSE)</f>
        <v>929426.1648887007</v>
      </c>
      <c r="AK5" s="3">
        <f>VLOOKUP(AK1,'Mortgage and Ammortization'!$D:$I,6,FALSE)</f>
        <v>928451.96776776609</v>
      </c>
      <c r="AL5" s="3">
        <f>VLOOKUP(AL1,'Mortgage and Ammortization'!$D:$I,6,FALSE)</f>
        <v>927472.29078802618</v>
      </c>
      <c r="AM5" s="3">
        <f>VLOOKUP(AM1,'Mortgage and Ammortization'!$D:$I,6,FALSE)</f>
        <v>926487.10312527523</v>
      </c>
      <c r="AN5" s="3">
        <f>VLOOKUP(AN1,'Mortgage and Ammortization'!$D:$I,6,FALSE)</f>
        <v>925496.37378192134</v>
      </c>
      <c r="AO5" s="3">
        <f>VLOOKUP(AO1,'Mortgage and Ammortization'!$D:$I,6,FALSE)</f>
        <v>924500.07158601109</v>
      </c>
      <c r="AP5" s="3">
        <f>VLOOKUP(AP1,'Mortgage and Ammortization'!$D:$I,6,FALSE)</f>
        <v>923498.16519024887</v>
      </c>
      <c r="AQ5" s="3">
        <f>VLOOKUP(AQ1,'Mortgage and Ammortization'!$D:$I,6,FALSE)</f>
        <v>922490.62307101046</v>
      </c>
      <c r="AR5" s="3">
        <f>VLOOKUP(AR1,'Mortgage and Ammortization'!$D:$I,6,FALSE)</f>
        <v>921477.41352735134</v>
      </c>
      <c r="AS5" s="3">
        <f>VLOOKUP(AS1,'Mortgage and Ammortization'!$D:$I,6,FALSE)</f>
        <v>920458.50468000909</v>
      </c>
      <c r="AT5" s="3">
        <f>VLOOKUP(AT1,'Mortgage and Ammortization'!$D:$I,6,FALSE)</f>
        <v>919433.86447040061</v>
      </c>
      <c r="AU5" s="3">
        <f>VLOOKUP(AU1,'Mortgage and Ammortization'!$D:$I,6,FALSE)</f>
        <v>918403.46065961302</v>
      </c>
      <c r="AV5" s="3">
        <f>VLOOKUP(AV1,'Mortgage and Ammortization'!$D:$I,6,FALSE)</f>
        <v>917367.26082738978</v>
      </c>
      <c r="AW5" s="3">
        <f>VLOOKUP(AW1,'Mortgage and Ammortization'!$D:$I,6,FALSE)</f>
        <v>916325.23237111024</v>
      </c>
      <c r="AX5" s="3">
        <f>VLOOKUP(AX1,'Mortgage and Ammortization'!$D:$I,6,FALSE)</f>
        <v>915277.34250476421</v>
      </c>
      <c r="AY5" s="3">
        <f>VLOOKUP(AY1,'Mortgage and Ammortization'!$D:$I,6,FALSE)</f>
        <v>914223.55825791997</v>
      </c>
      <c r="AZ5" s="3">
        <f>VLOOKUP(AZ1,'Mortgage and Ammortization'!$D:$I,6,FALSE)</f>
        <v>913163.84647468722</v>
      </c>
      <c r="BA5" s="3">
        <f>VLOOKUP(BA1,'Mortgage and Ammortization'!$D:$I,6,FALSE)</f>
        <v>912098.17381267378</v>
      </c>
      <c r="BB5" s="3">
        <f>VLOOKUP(BB1,'Mortgage and Ammortization'!$D:$I,6,FALSE)</f>
        <v>911026.50674193655</v>
      </c>
      <c r="BC5" s="3">
        <f>VLOOKUP(BC1,'Mortgage and Ammortization'!$D:$I,6,FALSE)</f>
        <v>909948.81154392636</v>
      </c>
      <c r="BD5" s="3">
        <f>VLOOKUP(BD1,'Mortgage and Ammortization'!$D:$I,6,FALSE)</f>
        <v>908865.0543104274</v>
      </c>
      <c r="BE5" s="3">
        <f>VLOOKUP(BE1,'Mortgage and Ammortization'!$D:$I,6,FALSE)</f>
        <v>907775.20094249002</v>
      </c>
      <c r="BF5" s="3">
        <f>VLOOKUP(BF1,'Mortgage and Ammortization'!$D:$I,6,FALSE)</f>
        <v>906679.21714935801</v>
      </c>
      <c r="BG5" s="3">
        <f>VLOOKUP(BG1,'Mortgage and Ammortization'!$D:$I,6,FALSE)</f>
        <v>905577.06844738964</v>
      </c>
      <c r="BH5" s="3">
        <f>VLOOKUP(BH1,'Mortgage and Ammortization'!$D:$I,6,FALSE)</f>
        <v>904468.72015897266</v>
      </c>
      <c r="BI5" s="3">
        <f>VLOOKUP(BI1,'Mortgage and Ammortization'!$D:$I,6,FALSE)</f>
        <v>903354.13741143327</v>
      </c>
      <c r="BJ5" s="3">
        <f>VLOOKUP(BJ1,'Mortgage and Ammortization'!$D:$I,6,FALSE)</f>
        <v>902233.28513593902</v>
      </c>
      <c r="BK5" s="3">
        <f>VLOOKUP(BK1,'Mortgage and Ammortization'!$D:$I,6,FALSE)</f>
        <v>901106.12806639506</v>
      </c>
      <c r="BL5" s="3">
        <f>VLOOKUP(BL1,'Mortgage and Ammortization'!$D:$I,6,FALSE)</f>
        <v>899972.63073833496</v>
      </c>
      <c r="BM5" s="3">
        <f>VLOOKUP(BM1,'Mortgage and Ammortization'!$D:$I,6,FALSE)</f>
        <v>898832.75748780451</v>
      </c>
      <c r="BN5" s="3">
        <f>VLOOKUP(BN1,'Mortgage and Ammortization'!$D:$I,6,FALSE)</f>
        <v>897686.47245023982</v>
      </c>
      <c r="BO5" s="3">
        <f>VLOOKUP(BO1,'Mortgage and Ammortization'!$D:$I,6,FALSE)</f>
        <v>896533.73955933889</v>
      </c>
      <c r="BP5" s="3">
        <f>VLOOKUP(BP1,'Mortgage and Ammortization'!$D:$I,6,FALSE)</f>
        <v>895374.52254592662</v>
      </c>
      <c r="BQ5" s="3">
        <f>VLOOKUP(BQ1,'Mortgage and Ammortization'!$D:$I,6,FALSE)</f>
        <v>894208.78493681387</v>
      </c>
      <c r="BR5" s="3">
        <f>VLOOKUP(BR1,'Mortgage and Ammortization'!$D:$I,6,FALSE)</f>
        <v>893036.49005364988</v>
      </c>
      <c r="BS5" s="3">
        <f>VLOOKUP(BS1,'Mortgage and Ammortization'!$D:$I,6,FALSE)</f>
        <v>891857.6010117681</v>
      </c>
      <c r="BT5" s="3">
        <f>VLOOKUP(BT1,'Mortgage and Ammortization'!$D:$I,6,FALSE)</f>
        <v>890672.08071902569</v>
      </c>
      <c r="BU5" s="3">
        <f>VLOOKUP(BU1,'Mortgage and Ammortization'!$D:$I,6,FALSE)</f>
        <v>889479.89187463664</v>
      </c>
      <c r="BV5" s="3">
        <f>VLOOKUP(BV1,'Mortgage and Ammortization'!$D:$I,6,FALSE)</f>
        <v>888280.99696799787</v>
      </c>
      <c r="BW5" s="3">
        <f>VLOOKUP(BW1,'Mortgage and Ammortization'!$D:$I,6,FALSE)</f>
        <v>887075.35827750934</v>
      </c>
      <c r="BX5" s="3">
        <f>VLOOKUP(BX1,'Mortgage and Ammortization'!$D:$I,6,FALSE)</f>
        <v>885862.93786938675</v>
      </c>
      <c r="BY5" s="3">
        <f>VLOOKUP(BY1,'Mortgage and Ammortization'!$D:$I,6,FALSE)</f>
        <v>884643.6975964685</v>
      </c>
      <c r="BZ5" s="3">
        <f>VLOOKUP(BZ1,'Mortgage and Ammortization'!$D:$I,6,FALSE)</f>
        <v>883417.5990970151</v>
      </c>
      <c r="CA5" s="3">
        <f>VLOOKUP(CA1,'Mortgage and Ammortization'!$D:$I,6,FALSE)</f>
        <v>882184.6037935022</v>
      </c>
      <c r="CB5" s="3">
        <f>VLOOKUP(CB1,'Mortgage and Ammortization'!$D:$I,6,FALSE)</f>
        <v>880944.67289140704</v>
      </c>
      <c r="CC5" s="3">
        <f>VLOOKUP(CC1,'Mortgage and Ammortization'!$D:$I,6,FALSE)</f>
        <v>879697.76737798762</v>
      </c>
      <c r="CD5" s="3">
        <f>VLOOKUP(CD1,'Mortgage and Ammortization'!$D:$I,6,FALSE)</f>
        <v>878443.84802105522</v>
      </c>
      <c r="CE5" s="3">
        <f>VLOOKUP(CE1,'Mortgage and Ammortization'!$D:$I,6,FALSE)</f>
        <v>877182.87536774005</v>
      </c>
      <c r="CF5" s="3">
        <f>VLOOKUP(CF1,'Mortgage and Ammortization'!$D:$I,6,FALSE)</f>
        <v>875914.80974325002</v>
      </c>
      <c r="CG5" s="3">
        <f>VLOOKUP(CG1,'Mortgage and Ammortization'!$D:$I,6,FALSE)</f>
        <v>874639.61124962219</v>
      </c>
      <c r="CH5" s="3">
        <f>VLOOKUP(CH1,'Mortgage and Ammortization'!$D:$I,6,FALSE)</f>
        <v>873357.23976446781</v>
      </c>
      <c r="CI5" s="3">
        <f>VLOOKUP(CI1,'Mortgage and Ammortization'!$D:$I,6,FALSE)</f>
        <v>872067.65493970935</v>
      </c>
      <c r="CJ5" s="3">
        <f>VLOOKUP(CJ1,'Mortgage and Ammortization'!$D:$I,6,FALSE)</f>
        <v>870770.81620031164</v>
      </c>
      <c r="CK5" s="3">
        <f>VLOOKUP(CK1,'Mortgage and Ammortization'!$D:$I,6,FALSE)</f>
        <v>869466.68274300487</v>
      </c>
      <c r="CL5" s="3">
        <f>VLOOKUP(CL1,'Mortgage and Ammortization'!$D:$I,6,FALSE)</f>
        <v>868155.21353500069</v>
      </c>
      <c r="CM5" s="3">
        <f>VLOOKUP(CM1,'Mortgage and Ammortization'!$D:$I,6,FALSE)</f>
        <v>866836.36731270154</v>
      </c>
      <c r="CN5" s="3">
        <f>VLOOKUP(CN1,'Mortgage and Ammortization'!$D:$I,6,FALSE)</f>
        <v>865510.10258040193</v>
      </c>
      <c r="CO5" s="3">
        <f>VLOOKUP(CO1,'Mortgage and Ammortization'!$D:$I,6,FALSE)</f>
        <v>864176.37760898308</v>
      </c>
      <c r="CP5" s="3">
        <f>VLOOKUP(CP1,'Mortgage and Ammortization'!$D:$I,6,FALSE)</f>
        <v>862835.15043460007</v>
      </c>
      <c r="CQ5" s="3">
        <f>VLOOKUP(CQ1,'Mortgage and Ammortization'!$D:$I,6,FALSE)</f>
        <v>861486.37885736115</v>
      </c>
      <c r="CR5" s="3">
        <f>VLOOKUP(CR1,'Mortgage and Ammortization'!$D:$I,6,FALSE)</f>
        <v>860130.02044000023</v>
      </c>
      <c r="CS5" s="3">
        <f>VLOOKUP(CS1,'Mortgage and Ammortization'!$D:$I,6,FALSE)</f>
        <v>858766.0325065417</v>
      </c>
      <c r="CT5" s="3">
        <f>VLOOKUP(CT1,'Mortgage and Ammortization'!$D:$I,6,FALSE)</f>
        <v>857394.37214095739</v>
      </c>
      <c r="CU5" s="3">
        <f>VLOOKUP(CU1,'Mortgage and Ammortization'!$D:$I,6,FALSE)</f>
        <v>856014.99618581671</v>
      </c>
      <c r="CV5" s="3">
        <f>VLOOKUP(CV1,'Mortgage and Ammortization'!$D:$I,6,FALSE)</f>
        <v>854627.86124092841</v>
      </c>
      <c r="CW5" s="3">
        <f>VLOOKUP(CW1,'Mortgage and Ammortization'!$D:$I,6,FALSE)</f>
        <v>853232.92366197507</v>
      </c>
      <c r="CX5" s="3">
        <f>VLOOKUP(CX1,'Mortgage and Ammortization'!$D:$I,6,FALSE)</f>
        <v>851830.13955914008</v>
      </c>
      <c r="CY5" s="3">
        <f>VLOOKUP(CY1,'Mortgage and Ammortization'!$D:$I,6,FALSE)</f>
        <v>850419.4647957267</v>
      </c>
      <c r="CZ5" s="3">
        <f>VLOOKUP(CZ1,'Mortgage and Ammortization'!$D:$I,6,FALSE)</f>
        <v>849000.85498676915</v>
      </c>
      <c r="DA5" s="3">
        <f>VLOOKUP(DA1,'Mortgage and Ammortization'!$D:$I,6,FALSE)</f>
        <v>847574.26549763617</v>
      </c>
      <c r="DB5" s="3">
        <f>VLOOKUP(DB1,'Mortgage and Ammortization'!$D:$I,6,FALSE)</f>
        <v>846139.65144262684</v>
      </c>
      <c r="DC5" s="3">
        <f>VLOOKUP(DC1,'Mortgage and Ammortization'!$D:$I,6,FALSE)</f>
        <v>844696.96768355812</v>
      </c>
      <c r="DD5" s="3">
        <f>VLOOKUP(DD1,'Mortgage and Ammortization'!$D:$I,6,FALSE)</f>
        <v>843246.16882834455</v>
      </c>
      <c r="DE5" s="3">
        <f>VLOOKUP(DE1,'Mortgage and Ammortization'!$D:$I,6,FALSE)</f>
        <v>841787.20922957046</v>
      </c>
      <c r="DF5" s="3">
        <f>VLOOKUP(DF1,'Mortgage and Ammortization'!$D:$I,6,FALSE)</f>
        <v>840320.04298305325</v>
      </c>
      <c r="DG5" s="3">
        <f>VLOOKUP(DG1,'Mortgage and Ammortization'!$D:$I,6,FALSE)</f>
        <v>838844.62392639939</v>
      </c>
      <c r="DH5" s="3">
        <f>VLOOKUP(DH1,'Mortgage and Ammortization'!$D:$I,6,FALSE)</f>
        <v>837360.9056375518</v>
      </c>
      <c r="DI5" s="3">
        <f>VLOOKUP(DI1,'Mortgage and Ammortization'!$D:$I,6,FALSE)</f>
        <v>835868.84143332951</v>
      </c>
      <c r="DJ5" s="3">
        <f>VLOOKUP(DJ1,'Mortgage and Ammortization'!$D:$I,6,FALSE)</f>
        <v>834368.38436795841</v>
      </c>
      <c r="DK5" s="3">
        <f>VLOOKUP(DK1,'Mortgage and Ammortization'!$D:$I,6,FALSE)</f>
        <v>832859.48723159463</v>
      </c>
      <c r="DL5" s="3">
        <f>VLOOKUP(DL1,'Mortgage and Ammortization'!$D:$I,6,FALSE)</f>
        <v>831342.10254883883</v>
      </c>
      <c r="DM5" s="3">
        <f>VLOOKUP(DM1,'Mortgage and Ammortization'!$D:$I,6,FALSE)</f>
        <v>829816.18257724249</v>
      </c>
      <c r="DN5" s="3">
        <f>VLOOKUP(DN1,'Mortgage and Ammortization'!$D:$I,6,FALSE)</f>
        <v>828281.67930580594</v>
      </c>
      <c r="DO5" s="3">
        <f>VLOOKUP(DO1,'Mortgage and Ammortization'!$D:$I,6,FALSE)</f>
        <v>826738.54445346759</v>
      </c>
      <c r="DP5" s="3">
        <f>VLOOKUP(DP1,'Mortgage and Ammortization'!$D:$I,6,FALSE)</f>
        <v>825186.72946758475</v>
      </c>
      <c r="DQ5" s="3">
        <f>VLOOKUP(DQ1,'Mortgage and Ammortization'!$D:$I,6,FALSE)</f>
        <v>823626.18552240636</v>
      </c>
      <c r="DR5" s="3">
        <f>VLOOKUP(DR1,'Mortgage and Ammortization'!$D:$I,6,FALSE)</f>
        <v>822056.86351753632</v>
      </c>
      <c r="DS5" s="3">
        <f>VLOOKUP(DS1,'Mortgage and Ammortization'!$D:$I,6,FALSE)</f>
        <v>820478.71407638886</v>
      </c>
      <c r="DT5" s="3">
        <f>VLOOKUP(DT1,'Mortgage and Ammortization'!$D:$I,6,FALSE)</f>
        <v>818891.68754463503</v>
      </c>
      <c r="DU5" s="3">
        <f>VLOOKUP(DU1,'Mortgage and Ammortization'!$D:$I,6,FALSE)</f>
        <v>817295.73398864002</v>
      </c>
      <c r="DV5" s="3">
        <f>VLOOKUP(DV1,'Mortgage and Ammortization'!$D:$I,6,FALSE)</f>
        <v>815690.80319389259</v>
      </c>
    </row>
    <row r="6" spans="1:126" x14ac:dyDescent="0.45">
      <c r="A6" t="s">
        <v>63</v>
      </c>
      <c r="B6" s="41">
        <v>0.25</v>
      </c>
      <c r="E6" t="s">
        <v>59</v>
      </c>
      <c r="F6" s="3">
        <f t="shared" ref="F6:AK6" si="18">F4-F5</f>
        <v>-956250</v>
      </c>
      <c r="G6" s="3">
        <f t="shared" si="18"/>
        <v>-955426.68695156649</v>
      </c>
      <c r="H6" s="3">
        <f t="shared" si="18"/>
        <v>-954598.7427672355</v>
      </c>
      <c r="I6" s="3">
        <f t="shared" si="18"/>
        <v>-953766.14139686769</v>
      </c>
      <c r="J6" s="3">
        <f t="shared" si="18"/>
        <v>-952928.85664379154</v>
      </c>
      <c r="K6" s="3">
        <f t="shared" si="18"/>
        <v>-952086.86216397933</v>
      </c>
      <c r="L6" s="3">
        <f t="shared" si="18"/>
        <v>-951240.13146521815</v>
      </c>
      <c r="M6" s="3">
        <f t="shared" si="18"/>
        <v>-950388.63790627639</v>
      </c>
      <c r="N6" s="3">
        <f t="shared" si="18"/>
        <v>-949532.35469606565</v>
      </c>
      <c r="O6" s="3">
        <f t="shared" si="18"/>
        <v>-948671.25489279744</v>
      </c>
      <c r="P6" s="3">
        <f t="shared" si="18"/>
        <v>-947805.31140313589</v>
      </c>
      <c r="Q6" s="3">
        <f t="shared" si="18"/>
        <v>-946934.496981345</v>
      </c>
      <c r="R6" s="3">
        <f t="shared" si="18"/>
        <v>-946058.78422843153</v>
      </c>
      <c r="S6" s="46">
        <f t="shared" si="18"/>
        <v>-945178.14559128287</v>
      </c>
      <c r="T6" s="3">
        <f t="shared" si="18"/>
        <v>-944292.55336180027</v>
      </c>
      <c r="U6" s="3">
        <f t="shared" si="18"/>
        <v>-943401.97967602685</v>
      </c>
      <c r="V6" s="3">
        <f t="shared" si="18"/>
        <v>-942506.39651327091</v>
      </c>
      <c r="W6" s="3">
        <f t="shared" si="18"/>
        <v>-941605.77569522453</v>
      </c>
      <c r="X6" s="3">
        <f t="shared" si="18"/>
        <v>-940700.08888507658</v>
      </c>
      <c r="Y6" s="3">
        <f t="shared" si="18"/>
        <v>-939789.30758662161</v>
      </c>
      <c r="Z6" s="3">
        <f t="shared" si="18"/>
        <v>-938873.40314336284</v>
      </c>
      <c r="AA6" s="3">
        <f t="shared" si="18"/>
        <v>-937952.34673761064</v>
      </c>
      <c r="AB6" s="3">
        <f t="shared" si="18"/>
        <v>-937026.10938957613</v>
      </c>
      <c r="AC6" s="3">
        <f t="shared" si="18"/>
        <v>-936094.66195645893</v>
      </c>
      <c r="AD6" s="3">
        <f t="shared" si="18"/>
        <v>-935157.97513153043</v>
      </c>
      <c r="AE6" s="3">
        <f t="shared" si="18"/>
        <v>-934216.01944321173</v>
      </c>
      <c r="AF6" s="3">
        <f t="shared" si="18"/>
        <v>-933268.76525414619</v>
      </c>
      <c r="AG6" s="3">
        <f t="shared" si="18"/>
        <v>-932316.18276026717</v>
      </c>
      <c r="AH6" s="3">
        <f t="shared" si="18"/>
        <v>-931358.24198986008</v>
      </c>
      <c r="AI6" s="3">
        <f t="shared" si="18"/>
        <v>-930394.91280261951</v>
      </c>
      <c r="AJ6" s="3">
        <f t="shared" si="18"/>
        <v>-929426.1648887007</v>
      </c>
      <c r="AK6" s="3">
        <f t="shared" si="18"/>
        <v>-928451.96776776609</v>
      </c>
      <c r="AL6" s="3">
        <f t="shared" ref="AL6:BQ6" si="19">AL4-AL5</f>
        <v>-927472.29078802618</v>
      </c>
      <c r="AM6" s="3">
        <f t="shared" si="19"/>
        <v>-926487.10312527523</v>
      </c>
      <c r="AN6" s="3">
        <f t="shared" si="19"/>
        <v>-925496.37378192134</v>
      </c>
      <c r="AO6" s="3">
        <f t="shared" si="19"/>
        <v>-924500.07158601109</v>
      </c>
      <c r="AP6" s="3">
        <f t="shared" si="19"/>
        <v>-923498.16519024887</v>
      </c>
      <c r="AQ6" s="3">
        <f t="shared" si="19"/>
        <v>-922490.62307101046</v>
      </c>
      <c r="AR6" s="3">
        <f t="shared" si="19"/>
        <v>-921477.41352735134</v>
      </c>
      <c r="AS6" s="3">
        <f t="shared" si="19"/>
        <v>-920458.50468000909</v>
      </c>
      <c r="AT6" s="3">
        <f t="shared" si="19"/>
        <v>-919433.86447040061</v>
      </c>
      <c r="AU6" s="3">
        <f t="shared" si="19"/>
        <v>-918403.46065961302</v>
      </c>
      <c r="AV6" s="3">
        <f t="shared" si="19"/>
        <v>-917367.26082738978</v>
      </c>
      <c r="AW6" s="3">
        <f t="shared" si="19"/>
        <v>-916325.23237111024</v>
      </c>
      <c r="AX6" s="3">
        <f t="shared" si="19"/>
        <v>-915277.34250476421</v>
      </c>
      <c r="AY6" s="3">
        <f t="shared" si="19"/>
        <v>-914223.55825791997</v>
      </c>
      <c r="AZ6" s="3">
        <f t="shared" si="19"/>
        <v>-913163.84647468722</v>
      </c>
      <c r="BA6" s="3">
        <f t="shared" si="19"/>
        <v>-912098.17381267378</v>
      </c>
      <c r="BB6" s="3">
        <f t="shared" si="19"/>
        <v>-911026.50674193655</v>
      </c>
      <c r="BC6" s="3">
        <f t="shared" si="19"/>
        <v>-909948.81154392636</v>
      </c>
      <c r="BD6" s="3">
        <f t="shared" si="19"/>
        <v>-908865.0543104274</v>
      </c>
      <c r="BE6" s="3">
        <f t="shared" si="19"/>
        <v>-907775.20094249002</v>
      </c>
      <c r="BF6" s="3">
        <f t="shared" si="19"/>
        <v>-906679.21714935801</v>
      </c>
      <c r="BG6" s="3">
        <f t="shared" si="19"/>
        <v>-905577.06844738964</v>
      </c>
      <c r="BH6" s="3">
        <f t="shared" si="19"/>
        <v>-904468.72015897266</v>
      </c>
      <c r="BI6" s="3">
        <f t="shared" si="19"/>
        <v>-903354.13741143327</v>
      </c>
      <c r="BJ6" s="3">
        <f t="shared" si="19"/>
        <v>-902233.28513593902</v>
      </c>
      <c r="BK6" s="3">
        <f t="shared" si="19"/>
        <v>-901106.12806639506</v>
      </c>
      <c r="BL6" s="3">
        <f t="shared" si="19"/>
        <v>-899972.63073833496</v>
      </c>
      <c r="BM6" s="3">
        <f t="shared" si="19"/>
        <v>-898832.75748780451</v>
      </c>
      <c r="BN6" s="3">
        <f t="shared" si="19"/>
        <v>-897686.47245023982</v>
      </c>
      <c r="BO6" s="3">
        <f t="shared" si="19"/>
        <v>-896533.73955933889</v>
      </c>
      <c r="BP6" s="3">
        <f t="shared" si="19"/>
        <v>-895374.52254592662</v>
      </c>
      <c r="BQ6" s="3">
        <f t="shared" si="19"/>
        <v>-894208.78493681387</v>
      </c>
      <c r="BR6" s="3">
        <f t="shared" ref="BR6:CW6" si="20">BR4-BR5</f>
        <v>-893036.49005364988</v>
      </c>
      <c r="BS6" s="3">
        <f t="shared" si="20"/>
        <v>-891857.6010117681</v>
      </c>
      <c r="BT6" s="3">
        <f t="shared" si="20"/>
        <v>-890672.08071902569</v>
      </c>
      <c r="BU6" s="3">
        <f t="shared" si="20"/>
        <v>-889479.89187463664</v>
      </c>
      <c r="BV6" s="3">
        <f t="shared" si="20"/>
        <v>-888280.99696799787</v>
      </c>
      <c r="BW6" s="3">
        <f t="shared" si="20"/>
        <v>-887075.35827750934</v>
      </c>
      <c r="BX6" s="3">
        <f t="shared" si="20"/>
        <v>-885862.93786938675</v>
      </c>
      <c r="BY6" s="3">
        <f t="shared" si="20"/>
        <v>-884643.6975964685</v>
      </c>
      <c r="BZ6" s="3">
        <f t="shared" si="20"/>
        <v>-883417.5990970151</v>
      </c>
      <c r="CA6" s="3">
        <f t="shared" si="20"/>
        <v>-882184.6037935022</v>
      </c>
      <c r="CB6" s="3">
        <f t="shared" si="20"/>
        <v>-880944.67289140704</v>
      </c>
      <c r="CC6" s="3">
        <f t="shared" si="20"/>
        <v>-879697.76737798762</v>
      </c>
      <c r="CD6" s="3">
        <f t="shared" si="20"/>
        <v>-878443.84802105522</v>
      </c>
      <c r="CE6" s="3">
        <f t="shared" si="20"/>
        <v>-877182.87536774005</v>
      </c>
      <c r="CF6" s="3">
        <f t="shared" si="20"/>
        <v>-875914.80974325002</v>
      </c>
      <c r="CG6" s="3">
        <f t="shared" si="20"/>
        <v>-874639.61124962219</v>
      </c>
      <c r="CH6" s="3">
        <f t="shared" si="20"/>
        <v>-873357.23976446781</v>
      </c>
      <c r="CI6" s="3">
        <f t="shared" si="20"/>
        <v>-872067.65493970935</v>
      </c>
      <c r="CJ6" s="3">
        <f t="shared" si="20"/>
        <v>-870770.81620031164</v>
      </c>
      <c r="CK6" s="3">
        <f t="shared" si="20"/>
        <v>-869466.68274300487</v>
      </c>
      <c r="CL6" s="3">
        <f t="shared" si="20"/>
        <v>-868155.21353500069</v>
      </c>
      <c r="CM6" s="3">
        <f t="shared" si="20"/>
        <v>-866836.36731270154</v>
      </c>
      <c r="CN6" s="3">
        <f t="shared" si="20"/>
        <v>-865510.10258040193</v>
      </c>
      <c r="CO6" s="3">
        <f t="shared" si="20"/>
        <v>-864176.37760898308</v>
      </c>
      <c r="CP6" s="3">
        <f t="shared" si="20"/>
        <v>-862835.15043460007</v>
      </c>
      <c r="CQ6" s="3">
        <f t="shared" si="20"/>
        <v>-861486.37885736115</v>
      </c>
      <c r="CR6" s="3">
        <f t="shared" si="20"/>
        <v>-860130.02044000023</v>
      </c>
      <c r="CS6" s="3">
        <f t="shared" si="20"/>
        <v>-858766.0325065417</v>
      </c>
      <c r="CT6" s="3">
        <f t="shared" si="20"/>
        <v>-857394.37214095739</v>
      </c>
      <c r="CU6" s="3">
        <f t="shared" si="20"/>
        <v>-856014.99618581671</v>
      </c>
      <c r="CV6" s="3">
        <f t="shared" si="20"/>
        <v>-854627.86124092841</v>
      </c>
      <c r="CW6" s="3">
        <f t="shared" si="20"/>
        <v>-853232.92366197507</v>
      </c>
      <c r="CX6" s="3">
        <f t="shared" ref="CX6:DV6" si="21">CX4-CX5</f>
        <v>-851830.13955914008</v>
      </c>
      <c r="CY6" s="3">
        <f t="shared" si="21"/>
        <v>-850419.4647957267</v>
      </c>
      <c r="CZ6" s="3">
        <f t="shared" si="21"/>
        <v>-849000.85498676915</v>
      </c>
      <c r="DA6" s="3">
        <f t="shared" si="21"/>
        <v>-847574.26549763617</v>
      </c>
      <c r="DB6" s="3">
        <f t="shared" si="21"/>
        <v>-846139.65144262684</v>
      </c>
      <c r="DC6" s="3">
        <f t="shared" si="21"/>
        <v>-844696.96768355812</v>
      </c>
      <c r="DD6" s="3">
        <f t="shared" si="21"/>
        <v>-843246.16882834455</v>
      </c>
      <c r="DE6" s="3">
        <f t="shared" si="21"/>
        <v>-841787.20922957046</v>
      </c>
      <c r="DF6" s="3">
        <f t="shared" si="21"/>
        <v>-840320.04298305325</v>
      </c>
      <c r="DG6" s="3">
        <f t="shared" si="21"/>
        <v>-838844.62392639939</v>
      </c>
      <c r="DH6" s="3">
        <f t="shared" si="21"/>
        <v>-837360.9056375518</v>
      </c>
      <c r="DI6" s="3">
        <f t="shared" si="21"/>
        <v>-835868.84143332951</v>
      </c>
      <c r="DJ6" s="3">
        <f t="shared" si="21"/>
        <v>-834368.38436795841</v>
      </c>
      <c r="DK6" s="3">
        <f t="shared" si="21"/>
        <v>-832859.48723159463</v>
      </c>
      <c r="DL6" s="3">
        <f t="shared" si="21"/>
        <v>-831342.10254883883</v>
      </c>
      <c r="DM6" s="3">
        <f t="shared" si="21"/>
        <v>-829816.18257724249</v>
      </c>
      <c r="DN6" s="3">
        <f t="shared" si="21"/>
        <v>-828281.67930580594</v>
      </c>
      <c r="DO6" s="3">
        <f t="shared" si="21"/>
        <v>-826738.54445346759</v>
      </c>
      <c r="DP6" s="3">
        <f t="shared" si="21"/>
        <v>-825186.72946758475</v>
      </c>
      <c r="DQ6" s="3">
        <f t="shared" si="21"/>
        <v>-823626.18552240636</v>
      </c>
      <c r="DR6" s="3">
        <f t="shared" si="21"/>
        <v>-822056.86351753632</v>
      </c>
      <c r="DS6" s="3">
        <f t="shared" si="21"/>
        <v>-820478.71407638886</v>
      </c>
      <c r="DT6" s="3">
        <f t="shared" si="21"/>
        <v>-818891.68754463503</v>
      </c>
      <c r="DU6" s="3">
        <f t="shared" si="21"/>
        <v>-817295.73398864002</v>
      </c>
      <c r="DV6" s="3">
        <f t="shared" si="21"/>
        <v>-815690.80319389259</v>
      </c>
    </row>
    <row r="7" spans="1:126" ht="3" customHeight="1" x14ac:dyDescent="0.45"/>
    <row r="8" spans="1:126" x14ac:dyDescent="0.45">
      <c r="E8" t="s">
        <v>60</v>
      </c>
      <c r="F8" s="3">
        <v>0</v>
      </c>
      <c r="G8" s="3" t="e">
        <f>'Deal Screen Template'!$C$27</f>
        <v>#DIV/0!</v>
      </c>
      <c r="H8" s="3" t="e">
        <f>G8*(1+($B$5/12))</f>
        <v>#DIV/0!</v>
      </c>
      <c r="I8" s="3" t="e">
        <f>H8*(1+($B$5/12))</f>
        <v>#DIV/0!</v>
      </c>
      <c r="J8" s="3" t="e">
        <f>I8*(1+($B$5/12))</f>
        <v>#DIV/0!</v>
      </c>
      <c r="K8" s="3" t="e">
        <f>J8*(1+($B$5/12))</f>
        <v>#DIV/0!</v>
      </c>
      <c r="L8" s="3" t="e">
        <f t="shared" ref="L8:Q8" si="22">K8*(1+($B$5/12))</f>
        <v>#DIV/0!</v>
      </c>
      <c r="M8" s="3" t="e">
        <f t="shared" si="22"/>
        <v>#DIV/0!</v>
      </c>
      <c r="N8" s="3" t="e">
        <f t="shared" si="22"/>
        <v>#DIV/0!</v>
      </c>
      <c r="O8" s="3" t="e">
        <f t="shared" si="22"/>
        <v>#DIV/0!</v>
      </c>
      <c r="P8" s="3" t="e">
        <f t="shared" si="22"/>
        <v>#DIV/0!</v>
      </c>
      <c r="Q8" s="3" t="e">
        <f t="shared" si="22"/>
        <v>#DIV/0!</v>
      </c>
      <c r="R8" s="3" t="e">
        <f t="shared" ref="R8:AO8" si="23">Q8*(1+($B$5/12))</f>
        <v>#DIV/0!</v>
      </c>
      <c r="S8" s="46" t="e">
        <f t="shared" si="23"/>
        <v>#DIV/0!</v>
      </c>
      <c r="T8" s="3" t="e">
        <f t="shared" si="23"/>
        <v>#DIV/0!</v>
      </c>
      <c r="U8" s="3" t="e">
        <f t="shared" si="23"/>
        <v>#DIV/0!</v>
      </c>
      <c r="V8" s="3" t="e">
        <f t="shared" si="23"/>
        <v>#DIV/0!</v>
      </c>
      <c r="W8" s="3" t="e">
        <f t="shared" si="23"/>
        <v>#DIV/0!</v>
      </c>
      <c r="X8" s="3" t="e">
        <f t="shared" si="23"/>
        <v>#DIV/0!</v>
      </c>
      <c r="Y8" s="3" t="e">
        <f t="shared" si="23"/>
        <v>#DIV/0!</v>
      </c>
      <c r="Z8" s="3" t="e">
        <f t="shared" si="23"/>
        <v>#DIV/0!</v>
      </c>
      <c r="AA8" s="3" t="e">
        <f t="shared" si="23"/>
        <v>#DIV/0!</v>
      </c>
      <c r="AB8" s="3" t="e">
        <f t="shared" si="23"/>
        <v>#DIV/0!</v>
      </c>
      <c r="AC8" s="3" t="e">
        <f t="shared" si="23"/>
        <v>#DIV/0!</v>
      </c>
      <c r="AD8" s="3" t="e">
        <f t="shared" si="23"/>
        <v>#DIV/0!</v>
      </c>
      <c r="AE8" s="3" t="e">
        <f t="shared" si="23"/>
        <v>#DIV/0!</v>
      </c>
      <c r="AF8" s="3" t="e">
        <f t="shared" si="23"/>
        <v>#DIV/0!</v>
      </c>
      <c r="AG8" s="3" t="e">
        <f t="shared" si="23"/>
        <v>#DIV/0!</v>
      </c>
      <c r="AH8" s="3" t="e">
        <f t="shared" si="23"/>
        <v>#DIV/0!</v>
      </c>
      <c r="AI8" s="3" t="e">
        <f t="shared" si="23"/>
        <v>#DIV/0!</v>
      </c>
      <c r="AJ8" s="3" t="e">
        <f t="shared" si="23"/>
        <v>#DIV/0!</v>
      </c>
      <c r="AK8" s="3" t="e">
        <f t="shared" si="23"/>
        <v>#DIV/0!</v>
      </c>
      <c r="AL8" s="3" t="e">
        <f t="shared" si="23"/>
        <v>#DIV/0!</v>
      </c>
      <c r="AM8" s="3" t="e">
        <f t="shared" si="23"/>
        <v>#DIV/0!</v>
      </c>
      <c r="AN8" s="3" t="e">
        <f t="shared" si="23"/>
        <v>#DIV/0!</v>
      </c>
      <c r="AO8" s="3" t="e">
        <f t="shared" si="23"/>
        <v>#DIV/0!</v>
      </c>
      <c r="AP8" s="3" t="e">
        <f t="shared" ref="AP8:BG8" si="24">AO8*(1+($B$5/12))</f>
        <v>#DIV/0!</v>
      </c>
      <c r="AQ8" s="3" t="e">
        <f t="shared" si="24"/>
        <v>#DIV/0!</v>
      </c>
      <c r="AR8" s="3" t="e">
        <f t="shared" si="24"/>
        <v>#DIV/0!</v>
      </c>
      <c r="AS8" s="3" t="e">
        <f t="shared" si="24"/>
        <v>#DIV/0!</v>
      </c>
      <c r="AT8" s="3" t="e">
        <f t="shared" si="24"/>
        <v>#DIV/0!</v>
      </c>
      <c r="AU8" s="3" t="e">
        <f t="shared" si="24"/>
        <v>#DIV/0!</v>
      </c>
      <c r="AV8" s="3" t="e">
        <f t="shared" si="24"/>
        <v>#DIV/0!</v>
      </c>
      <c r="AW8" s="3" t="e">
        <f t="shared" si="24"/>
        <v>#DIV/0!</v>
      </c>
      <c r="AX8" s="3" t="e">
        <f t="shared" si="24"/>
        <v>#DIV/0!</v>
      </c>
      <c r="AY8" s="3" t="e">
        <f t="shared" si="24"/>
        <v>#DIV/0!</v>
      </c>
      <c r="AZ8" s="3" t="e">
        <f t="shared" si="24"/>
        <v>#DIV/0!</v>
      </c>
      <c r="BA8" s="3" t="e">
        <f t="shared" si="24"/>
        <v>#DIV/0!</v>
      </c>
      <c r="BB8" s="3" t="e">
        <f t="shared" si="24"/>
        <v>#DIV/0!</v>
      </c>
      <c r="BC8" s="3" t="e">
        <f t="shared" si="24"/>
        <v>#DIV/0!</v>
      </c>
      <c r="BD8" s="3" t="e">
        <f t="shared" si="24"/>
        <v>#DIV/0!</v>
      </c>
      <c r="BE8" s="3" t="e">
        <f t="shared" si="24"/>
        <v>#DIV/0!</v>
      </c>
      <c r="BF8" s="3" t="e">
        <f t="shared" si="24"/>
        <v>#DIV/0!</v>
      </c>
      <c r="BG8" s="3" t="e">
        <f t="shared" si="24"/>
        <v>#DIV/0!</v>
      </c>
      <c r="BH8" s="3" t="e">
        <f t="shared" ref="BH8:BM8" si="25">BG8*(1+($B$5/12))</f>
        <v>#DIV/0!</v>
      </c>
      <c r="BI8" s="3" t="e">
        <f t="shared" si="25"/>
        <v>#DIV/0!</v>
      </c>
      <c r="BJ8" s="3" t="e">
        <f t="shared" si="25"/>
        <v>#DIV/0!</v>
      </c>
      <c r="BK8" s="3" t="e">
        <f t="shared" si="25"/>
        <v>#DIV/0!</v>
      </c>
      <c r="BL8" s="3" t="e">
        <f t="shared" si="25"/>
        <v>#DIV/0!</v>
      </c>
      <c r="BM8" s="3" t="e">
        <f t="shared" si="25"/>
        <v>#DIV/0!</v>
      </c>
      <c r="BN8" s="3" t="e">
        <f t="shared" ref="BN8:CK8" si="26">BM8*(1+($B$5/12))</f>
        <v>#DIV/0!</v>
      </c>
      <c r="BO8" s="3" t="e">
        <f t="shared" si="26"/>
        <v>#DIV/0!</v>
      </c>
      <c r="BP8" s="3" t="e">
        <f t="shared" si="26"/>
        <v>#DIV/0!</v>
      </c>
      <c r="BQ8" s="3" t="e">
        <f t="shared" si="26"/>
        <v>#DIV/0!</v>
      </c>
      <c r="BR8" s="3" t="e">
        <f t="shared" si="26"/>
        <v>#DIV/0!</v>
      </c>
      <c r="BS8" s="3" t="e">
        <f t="shared" si="26"/>
        <v>#DIV/0!</v>
      </c>
      <c r="BT8" s="3" t="e">
        <f t="shared" si="26"/>
        <v>#DIV/0!</v>
      </c>
      <c r="BU8" s="3" t="e">
        <f t="shared" si="26"/>
        <v>#DIV/0!</v>
      </c>
      <c r="BV8" s="3" t="e">
        <f t="shared" si="26"/>
        <v>#DIV/0!</v>
      </c>
      <c r="BW8" s="3" t="e">
        <f t="shared" si="26"/>
        <v>#DIV/0!</v>
      </c>
      <c r="BX8" s="3" t="e">
        <f t="shared" si="26"/>
        <v>#DIV/0!</v>
      </c>
      <c r="BY8" s="3" t="e">
        <f t="shared" si="26"/>
        <v>#DIV/0!</v>
      </c>
      <c r="BZ8" s="3" t="e">
        <f t="shared" si="26"/>
        <v>#DIV/0!</v>
      </c>
      <c r="CA8" s="3" t="e">
        <f t="shared" si="26"/>
        <v>#DIV/0!</v>
      </c>
      <c r="CB8" s="3" t="e">
        <f t="shared" si="26"/>
        <v>#DIV/0!</v>
      </c>
      <c r="CC8" s="3" t="e">
        <f t="shared" si="26"/>
        <v>#DIV/0!</v>
      </c>
      <c r="CD8" s="3" t="e">
        <f t="shared" si="26"/>
        <v>#DIV/0!</v>
      </c>
      <c r="CE8" s="3" t="e">
        <f t="shared" si="26"/>
        <v>#DIV/0!</v>
      </c>
      <c r="CF8" s="3" t="e">
        <f t="shared" si="26"/>
        <v>#DIV/0!</v>
      </c>
      <c r="CG8" s="3" t="e">
        <f t="shared" si="26"/>
        <v>#DIV/0!</v>
      </c>
      <c r="CH8" s="3" t="e">
        <f t="shared" si="26"/>
        <v>#DIV/0!</v>
      </c>
      <c r="CI8" s="3" t="e">
        <f t="shared" si="26"/>
        <v>#DIV/0!</v>
      </c>
      <c r="CJ8" s="3" t="e">
        <f t="shared" si="26"/>
        <v>#DIV/0!</v>
      </c>
      <c r="CK8" s="3" t="e">
        <f t="shared" si="26"/>
        <v>#DIV/0!</v>
      </c>
      <c r="CL8" s="3" t="e">
        <f t="shared" ref="CL8:DU8" si="27">CK8*(1+($B$5/12))</f>
        <v>#DIV/0!</v>
      </c>
      <c r="CM8" s="3" t="e">
        <f t="shared" si="27"/>
        <v>#DIV/0!</v>
      </c>
      <c r="CN8" s="3" t="e">
        <f t="shared" si="27"/>
        <v>#DIV/0!</v>
      </c>
      <c r="CO8" s="3" t="e">
        <f t="shared" si="27"/>
        <v>#DIV/0!</v>
      </c>
      <c r="CP8" s="3" t="e">
        <f t="shared" si="27"/>
        <v>#DIV/0!</v>
      </c>
      <c r="CQ8" s="3" t="e">
        <f t="shared" si="27"/>
        <v>#DIV/0!</v>
      </c>
      <c r="CR8" s="3" t="e">
        <f t="shared" si="27"/>
        <v>#DIV/0!</v>
      </c>
      <c r="CS8" s="3" t="e">
        <f t="shared" si="27"/>
        <v>#DIV/0!</v>
      </c>
      <c r="CT8" s="3" t="e">
        <f t="shared" si="27"/>
        <v>#DIV/0!</v>
      </c>
      <c r="CU8" s="3" t="e">
        <f t="shared" si="27"/>
        <v>#DIV/0!</v>
      </c>
      <c r="CV8" s="3" t="e">
        <f t="shared" si="27"/>
        <v>#DIV/0!</v>
      </c>
      <c r="CW8" s="3" t="e">
        <f t="shared" si="27"/>
        <v>#DIV/0!</v>
      </c>
      <c r="CX8" s="3" t="e">
        <f t="shared" si="27"/>
        <v>#DIV/0!</v>
      </c>
      <c r="CY8" s="3" t="e">
        <f t="shared" si="27"/>
        <v>#DIV/0!</v>
      </c>
      <c r="CZ8" s="3" t="e">
        <f t="shared" si="27"/>
        <v>#DIV/0!</v>
      </c>
      <c r="DA8" s="3" t="e">
        <f t="shared" si="27"/>
        <v>#DIV/0!</v>
      </c>
      <c r="DB8" s="3" t="e">
        <f t="shared" si="27"/>
        <v>#DIV/0!</v>
      </c>
      <c r="DC8" s="3" t="e">
        <f t="shared" si="27"/>
        <v>#DIV/0!</v>
      </c>
      <c r="DD8" s="3" t="e">
        <f t="shared" si="27"/>
        <v>#DIV/0!</v>
      </c>
      <c r="DE8" s="3" t="e">
        <f t="shared" si="27"/>
        <v>#DIV/0!</v>
      </c>
      <c r="DF8" s="3" t="e">
        <f t="shared" si="27"/>
        <v>#DIV/0!</v>
      </c>
      <c r="DG8" s="3" t="e">
        <f t="shared" si="27"/>
        <v>#DIV/0!</v>
      </c>
      <c r="DH8" s="3" t="e">
        <f t="shared" si="27"/>
        <v>#DIV/0!</v>
      </c>
      <c r="DI8" s="3" t="e">
        <f t="shared" si="27"/>
        <v>#DIV/0!</v>
      </c>
      <c r="DJ8" s="3" t="e">
        <f t="shared" si="27"/>
        <v>#DIV/0!</v>
      </c>
      <c r="DK8" s="3" t="e">
        <f t="shared" si="27"/>
        <v>#DIV/0!</v>
      </c>
      <c r="DL8" s="3" t="e">
        <f t="shared" si="27"/>
        <v>#DIV/0!</v>
      </c>
      <c r="DM8" s="3" t="e">
        <f t="shared" si="27"/>
        <v>#DIV/0!</v>
      </c>
      <c r="DN8" s="3" t="e">
        <f t="shared" si="27"/>
        <v>#DIV/0!</v>
      </c>
      <c r="DO8" s="3" t="e">
        <f t="shared" si="27"/>
        <v>#DIV/0!</v>
      </c>
      <c r="DP8" s="3" t="e">
        <f t="shared" si="27"/>
        <v>#DIV/0!</v>
      </c>
      <c r="DQ8" s="3" t="e">
        <f t="shared" si="27"/>
        <v>#DIV/0!</v>
      </c>
      <c r="DR8" s="3" t="e">
        <f t="shared" si="27"/>
        <v>#DIV/0!</v>
      </c>
      <c r="DS8" s="3" t="e">
        <f t="shared" si="27"/>
        <v>#DIV/0!</v>
      </c>
      <c r="DT8" s="3" t="e">
        <f t="shared" si="27"/>
        <v>#DIV/0!</v>
      </c>
      <c r="DU8" s="3" t="e">
        <f t="shared" si="27"/>
        <v>#DIV/0!</v>
      </c>
      <c r="DV8" s="3" t="e">
        <f>DU8*(1+($B$5/12))</f>
        <v>#DIV/0!</v>
      </c>
    </row>
    <row r="9" spans="1:126" x14ac:dyDescent="0.45">
      <c r="E9" t="s">
        <v>61</v>
      </c>
      <c r="F9" s="3">
        <f>VLOOKUP(F1,'Mortgage and Ammortization'!$D:$F,3,FALSE)</f>
        <v>0</v>
      </c>
      <c r="G9" s="3">
        <f>VLOOKUP(G1,'Mortgage and Ammortization'!$D:$F,3,FALSE)</f>
        <v>823.31304843355781</v>
      </c>
      <c r="H9" s="3">
        <f>VLOOKUP(H1,'Mortgage and Ammortization'!$D:$F,3,FALSE)</f>
        <v>827.94418433099645</v>
      </c>
      <c r="I9" s="3">
        <f>VLOOKUP(I1,'Mortgage and Ammortization'!$D:$F,3,FALSE)</f>
        <v>832.60137036785864</v>
      </c>
      <c r="J9" s="3">
        <f>VLOOKUP(J1,'Mortgage and Ammortization'!$D:$F,3,FALSE)</f>
        <v>837.28475307617782</v>
      </c>
      <c r="K9" s="3">
        <f>VLOOKUP(K1,'Mortgage and Ammortization'!$D:$F,3,FALSE)</f>
        <v>841.99447981223113</v>
      </c>
      <c r="L9" s="3">
        <f>VLOOKUP(L1,'Mortgage and Ammortization'!$D:$F,3,FALSE)</f>
        <v>846.73069876117506</v>
      </c>
      <c r="M9" s="3">
        <f>VLOOKUP(M1,'Mortgage and Ammortization'!$D:$F,3,FALSE)</f>
        <v>851.49355894170651</v>
      </c>
      <c r="N9" s="3">
        <f>VLOOKUP(N1,'Mortgage and Ammortization'!$D:$F,3,FALSE)</f>
        <v>856.28321021075374</v>
      </c>
      <c r="O9" s="3">
        <f>VLOOKUP(O1,'Mortgage and Ammortization'!$D:$F,3,FALSE)</f>
        <v>861.09980326818913</v>
      </c>
      <c r="P9" s="3">
        <f>VLOOKUP(P1,'Mortgage and Ammortization'!$D:$F,3,FALSE)</f>
        <v>865.94348966157281</v>
      </c>
      <c r="Q9" s="3">
        <f>VLOOKUP(Q1,'Mortgage and Ammortization'!$D:$F,3,FALSE)</f>
        <v>870.81442179091914</v>
      </c>
      <c r="R9" s="3">
        <f>VLOOKUP(R1,'Mortgage and Ammortization'!$D:$F,3,FALSE)</f>
        <v>875.71275291349309</v>
      </c>
      <c r="S9" s="46">
        <f>VLOOKUP(S1,'Mortgage and Ammortization'!$D:$F,3,FALSE)</f>
        <v>880.63863714863146</v>
      </c>
      <c r="T9" s="3">
        <f>VLOOKUP(T1,'Mortgage and Ammortization'!$D:$F,3,FALSE)</f>
        <v>885.5922294825923</v>
      </c>
      <c r="U9" s="3">
        <f>VLOOKUP(U1,'Mortgage and Ammortization'!$D:$F,3,FALSE)</f>
        <v>890.57368577343209</v>
      </c>
      <c r="V9" s="3">
        <f>VLOOKUP(V1,'Mortgage and Ammortization'!$D:$F,3,FALSE)</f>
        <v>895.58316275590755</v>
      </c>
      <c r="W9" s="3">
        <f>VLOOKUP(W1,'Mortgage and Ammortization'!$D:$F,3,FALSE)</f>
        <v>900.62081804640957</v>
      </c>
      <c r="X9" s="3">
        <f>VLOOKUP(X1,'Mortgage and Ammortization'!$D:$F,3,FALSE)</f>
        <v>905.68681014792071</v>
      </c>
      <c r="Y9" s="3">
        <f>VLOOKUP(Y1,'Mortgage and Ammortization'!$D:$F,3,FALSE)</f>
        <v>910.78129845500291</v>
      </c>
      <c r="Z9" s="3">
        <f>VLOOKUP(Z1,'Mortgage and Ammortization'!$D:$F,3,FALSE)</f>
        <v>915.90444325881208</v>
      </c>
      <c r="AA9" s="3">
        <f>VLOOKUP(AA1,'Mortgage and Ammortization'!$D:$F,3,FALSE)</f>
        <v>921.05640575214295</v>
      </c>
      <c r="AB9" s="3">
        <f>VLOOKUP(AB1,'Mortgage and Ammortization'!$D:$F,3,FALSE)</f>
        <v>926.23734803449872</v>
      </c>
      <c r="AC9" s="3">
        <f>VLOOKUP(AC1,'Mortgage and Ammortization'!$D:$F,3,FALSE)</f>
        <v>931.44743311719276</v>
      </c>
      <c r="AD9" s="3">
        <f>VLOOKUP(AD1,'Mortgage and Ammortization'!$D:$F,3,FALSE)</f>
        <v>936.68682492847699</v>
      </c>
      <c r="AE9" s="3">
        <f>VLOOKUP(AE1,'Mortgage and Ammortization'!$D:$F,3,FALSE)</f>
        <v>941.95568831869957</v>
      </c>
      <c r="AF9" s="3">
        <f>VLOOKUP(AF1,'Mortgage and Ammortization'!$D:$F,3,FALSE)</f>
        <v>947.25418906549237</v>
      </c>
      <c r="AG9" s="3">
        <f>VLOOKUP(AG1,'Mortgage and Ammortization'!$D:$F,3,FALSE)</f>
        <v>952.5824938789857</v>
      </c>
      <c r="AH9" s="3">
        <f>VLOOKUP(AH1,'Mortgage and Ammortization'!$D:$F,3,FALSE)</f>
        <v>957.94077040705497</v>
      </c>
      <c r="AI9" s="3">
        <f>VLOOKUP(AI1,'Mortgage and Ammortization'!$D:$F,3,FALSE)</f>
        <v>963.32918724059482</v>
      </c>
      <c r="AJ9" s="3">
        <f>VLOOKUP(AJ1,'Mortgage and Ammortization'!$D:$F,3,FALSE)</f>
        <v>968.74791391882309</v>
      </c>
      <c r="AK9" s="3">
        <f>VLOOKUP(AK1,'Mortgage and Ammortization'!$D:$F,3,FALSE)</f>
        <v>974.19712093461646</v>
      </c>
      <c r="AL9" s="3">
        <f>VLOOKUP(AL1,'Mortgage and Ammortization'!$D:$F,3,FALSE)</f>
        <v>979.67697973987367</v>
      </c>
      <c r="AM9" s="3">
        <f>VLOOKUP(AM1,'Mortgage and Ammortization'!$D:$F,3,FALSE)</f>
        <v>985.18766275091059</v>
      </c>
      <c r="AN9" s="3">
        <f>VLOOKUP(AN1,'Mortgage and Ammortization'!$D:$F,3,FALSE)</f>
        <v>990.72934335388436</v>
      </c>
      <c r="AO9" s="3">
        <f>VLOOKUP(AO1,'Mortgage and Ammortization'!$D:$F,3,FALSE)</f>
        <v>996.30219591024991</v>
      </c>
      <c r="AP9" s="3">
        <f>VLOOKUP(AP1,'Mortgage and Ammortization'!$D:$F,3,FALSE)</f>
        <v>1001.9063957622451</v>
      </c>
      <c r="AQ9" s="3">
        <f>VLOOKUP(AQ1,'Mortgage and Ammortization'!$D:$F,3,FALSE)</f>
        <v>1007.5421192384076</v>
      </c>
      <c r="AR9" s="3">
        <f>VLOOKUP(AR1,'Mortgage and Ammortization'!$D:$F,3,FALSE)</f>
        <v>1013.2095436591237</v>
      </c>
      <c r="AS9" s="3">
        <f>VLOOKUP(AS1,'Mortgage and Ammortization'!$D:$F,3,FALSE)</f>
        <v>1018.9088473422064</v>
      </c>
      <c r="AT9" s="3">
        <f>VLOOKUP(AT1,'Mortgage and Ammortization'!$D:$F,3,FALSE)</f>
        <v>1024.6402096085064</v>
      </c>
      <c r="AU9" s="3">
        <f>VLOOKUP(AU1,'Mortgage and Ammortization'!$D:$F,3,FALSE)</f>
        <v>1030.403810787554</v>
      </c>
      <c r="AV9" s="3">
        <f>VLOOKUP(AV1,'Mortgage and Ammortization'!$D:$F,3,FALSE)</f>
        <v>1036.1998322232341</v>
      </c>
      <c r="AW9" s="3">
        <f>VLOOKUP(AW1,'Mortgage and Ammortization'!$D:$F,3,FALSE)</f>
        <v>1042.0284562794898</v>
      </c>
      <c r="AX9" s="3">
        <f>VLOOKUP(AX1,'Mortgage and Ammortization'!$D:$F,3,FALSE)</f>
        <v>1047.8898663460618</v>
      </c>
      <c r="AY9" s="3">
        <f>VLOOKUP(AY1,'Mortgage and Ammortization'!$D:$F,3,FALSE)</f>
        <v>1053.7842468442584</v>
      </c>
      <c r="AZ9" s="3">
        <f>VLOOKUP(AZ1,'Mortgage and Ammortization'!$D:$F,3,FALSE)</f>
        <v>1059.7117832327574</v>
      </c>
      <c r="BA9" s="3">
        <f>VLOOKUP(BA1,'Mortgage and Ammortization'!$D:$F,3,FALSE)</f>
        <v>1065.6726620134416</v>
      </c>
      <c r="BB9" s="3">
        <f>VLOOKUP(BB1,'Mortgage and Ammortization'!$D:$F,3,FALSE)</f>
        <v>1071.6670707372671</v>
      </c>
      <c r="BC9" s="3">
        <f>VLOOKUP(BC1,'Mortgage and Ammortization'!$D:$F,3,FALSE)</f>
        <v>1077.6951980101646</v>
      </c>
      <c r="BD9" s="3">
        <f>VLOOKUP(BD1,'Mortgage and Ammortization'!$D:$F,3,FALSE)</f>
        <v>1083.7572334989718</v>
      </c>
      <c r="BE9" s="3">
        <f>VLOOKUP(BE1,'Mortgage and Ammortization'!$D:$F,3,FALSE)</f>
        <v>1089.8533679374034</v>
      </c>
      <c r="BF9" s="3">
        <f>VLOOKUP(BF1,'Mortgage and Ammortization'!$D:$F,3,FALSE)</f>
        <v>1095.9837931320512</v>
      </c>
      <c r="BG9" s="3">
        <f>VLOOKUP(BG1,'Mortgage and Ammortization'!$D:$F,3,FALSE)</f>
        <v>1102.1487019684191</v>
      </c>
      <c r="BH9" s="3">
        <f>VLOOKUP(BH1,'Mortgage and Ammortization'!$D:$F,3,FALSE)</f>
        <v>1108.3482884169914</v>
      </c>
      <c r="BI9" s="3">
        <f>VLOOKUP(BI1,'Mortgage and Ammortization'!$D:$F,3,FALSE)</f>
        <v>1114.5827475393371</v>
      </c>
      <c r="BJ9" s="3">
        <f>VLOOKUP(BJ1,'Mortgage and Ammortization'!$D:$F,3,FALSE)</f>
        <v>1120.8522754942458</v>
      </c>
      <c r="BK9" s="3">
        <f>VLOOKUP(BK1,'Mortgage and Ammortization'!$D:$F,3,FALSE)</f>
        <v>1127.1570695439009</v>
      </c>
      <c r="BL9" s="3">
        <f>VLOOKUP(BL1,'Mortgage and Ammortization'!$D:$F,3,FALSE)</f>
        <v>1133.4973280600852</v>
      </c>
      <c r="BM9" s="3">
        <f>VLOOKUP(BM1,'Mortgage and Ammortization'!$D:$F,3,FALSE)</f>
        <v>1139.8732505304235</v>
      </c>
      <c r="BN9" s="3">
        <f>VLOOKUP(BN1,'Mortgage and Ammortization'!$D:$F,3,FALSE)</f>
        <v>1146.2850375646569</v>
      </c>
      <c r="BO9" s="3">
        <f>VLOOKUP(BO1,'Mortgage and Ammortization'!$D:$F,3,FALSE)</f>
        <v>1152.7328909009582</v>
      </c>
      <c r="BP9" s="3">
        <f>VLOOKUP(BP1,'Mortgage and Ammortization'!$D:$F,3,FALSE)</f>
        <v>1159.2170134122759</v>
      </c>
      <c r="BQ9" s="3">
        <f>VLOOKUP(BQ1,'Mortgage and Ammortization'!$D:$F,3,FALSE)</f>
        <v>1165.7376091127201</v>
      </c>
      <c r="BR9" s="3">
        <f>VLOOKUP(BR1,'Mortgage and Ammortization'!$D:$F,3,FALSE)</f>
        <v>1172.2948831639792</v>
      </c>
      <c r="BS9" s="3">
        <f>VLOOKUP(BS1,'Mortgage and Ammortization'!$D:$F,3,FALSE)</f>
        <v>1178.8890418817764</v>
      </c>
      <c r="BT9" s="3">
        <f>VLOOKUP(BT1,'Mortgage and Ammortization'!$D:$F,3,FALSE)</f>
        <v>1185.5202927423613</v>
      </c>
      <c r="BU9" s="3">
        <f>VLOOKUP(BU1,'Mortgage and Ammortization'!$D:$F,3,FALSE)</f>
        <v>1192.1888443890373</v>
      </c>
      <c r="BV9" s="3">
        <f>VLOOKUP(BV1,'Mortgage and Ammortization'!$D:$F,3,FALSE)</f>
        <v>1198.8949066387256</v>
      </c>
      <c r="BW9" s="3">
        <f>VLOOKUP(BW1,'Mortgage and Ammortization'!$D:$F,3,FALSE)</f>
        <v>1205.6386904885683</v>
      </c>
      <c r="BX9" s="3">
        <f>VLOOKUP(BX1,'Mortgage and Ammortization'!$D:$F,3,FALSE)</f>
        <v>1212.4204081225669</v>
      </c>
      <c r="BY9" s="3">
        <f>VLOOKUP(BY1,'Mortgage and Ammortization'!$D:$F,3,FALSE)</f>
        <v>1219.2402729182563</v>
      </c>
      <c r="BZ9" s="3">
        <f>VLOOKUP(BZ1,'Mortgage and Ammortization'!$D:$F,3,FALSE)</f>
        <v>1226.0984994534215</v>
      </c>
      <c r="CA9" s="3">
        <f>VLOOKUP(CA1,'Mortgage and Ammortization'!$D:$F,3,FALSE)</f>
        <v>1232.9953035128467</v>
      </c>
      <c r="CB9" s="3">
        <f>VLOOKUP(CB1,'Mortgage and Ammortization'!$D:$F,3,FALSE)</f>
        <v>1239.9309020951064</v>
      </c>
      <c r="CC9" s="3">
        <f>VLOOKUP(CC1,'Mortgage and Ammortization'!$D:$F,3,FALSE)</f>
        <v>1246.9055134193914</v>
      </c>
      <c r="CD9" s="3">
        <f>VLOOKUP(CD1,'Mortgage and Ammortization'!$D:$F,3,FALSE)</f>
        <v>1253.9193569323754</v>
      </c>
      <c r="CE9" s="3">
        <f>VLOOKUP(CE1,'Mortgage and Ammortization'!$D:$F,3,FALSE)</f>
        <v>1260.9726533151202</v>
      </c>
      <c r="CF9" s="3">
        <f>VLOOKUP(CF1,'Mortgage and Ammortization'!$D:$F,3,FALSE)</f>
        <v>1268.0656244900179</v>
      </c>
      <c r="CG9" s="3">
        <f>VLOOKUP(CG1,'Mortgage and Ammortization'!$D:$F,3,FALSE)</f>
        <v>1275.1984936277738</v>
      </c>
      <c r="CH9" s="3">
        <f>VLOOKUP(CH1,'Mortgage and Ammortization'!$D:$F,3,FALSE)</f>
        <v>1282.3714851544305</v>
      </c>
      <c r="CI9" s="3">
        <f>VLOOKUP(CI1,'Mortgage and Ammortization'!$D:$F,3,FALSE)</f>
        <v>1289.584824758424</v>
      </c>
      <c r="CJ9" s="3">
        <f>VLOOKUP(CJ1,'Mortgage and Ammortization'!$D:$F,3,FALSE)</f>
        <v>1296.8387393976902</v>
      </c>
      <c r="CK9" s="3">
        <f>VLOOKUP(CK1,'Mortgage and Ammortization'!$D:$F,3,FALSE)</f>
        <v>1304.1334573068023</v>
      </c>
      <c r="CL9" s="3">
        <f>VLOOKUP(CL1,'Mortgage and Ammortization'!$D:$F,3,FALSE)</f>
        <v>1311.469208004153</v>
      </c>
      <c r="CM9" s="3">
        <f>VLOOKUP(CM1,'Mortgage and Ammortization'!$D:$F,3,FALSE)</f>
        <v>1318.8462222991761</v>
      </c>
      <c r="CN9" s="3">
        <f>VLOOKUP(CN1,'Mortgage and Ammortization'!$D:$F,3,FALSE)</f>
        <v>1326.264732299609</v>
      </c>
      <c r="CO9" s="3">
        <f>VLOOKUP(CO1,'Mortgage and Ammortization'!$D:$F,3,FALSE)</f>
        <v>1333.7249714187944</v>
      </c>
      <c r="CP9" s="3">
        <f>VLOOKUP(CP1,'Mortgage and Ammortization'!$D:$F,3,FALSE)</f>
        <v>1341.2271743830249</v>
      </c>
      <c r="CQ9" s="3">
        <f>VLOOKUP(CQ1,'Mortgage and Ammortization'!$D:$F,3,FALSE)</f>
        <v>1348.7715772389295</v>
      </c>
      <c r="CR9" s="3">
        <f>VLOOKUP(CR1,'Mortgage and Ammortization'!$D:$F,3,FALSE)</f>
        <v>1356.3584173608988</v>
      </c>
      <c r="CS9" s="3">
        <f>VLOOKUP(CS1,'Mortgage and Ammortization'!$D:$F,3,FALSE)</f>
        <v>1363.9879334585537</v>
      </c>
      <c r="CT9" s="3">
        <f>VLOOKUP(CT1,'Mortgage and Ammortization'!$D:$F,3,FALSE)</f>
        <v>1371.6603655842582</v>
      </c>
      <c r="CU9" s="3">
        <f>VLOOKUP(CU1,'Mortgage and Ammortization'!$D:$F,3,FALSE)</f>
        <v>1379.3759551406695</v>
      </c>
      <c r="CV9" s="3">
        <f>VLOOKUP(CV1,'Mortgage and Ammortization'!$D:$F,3,FALSE)</f>
        <v>1387.1349448883357</v>
      </c>
      <c r="CW9" s="3">
        <f>VLOOKUP(CW1,'Mortgage and Ammortization'!$D:$F,3,FALSE)</f>
        <v>1394.9375789533328</v>
      </c>
      <c r="CX9" s="3">
        <f>VLOOKUP(CX1,'Mortgage and Ammortization'!$D:$F,3,FALSE)</f>
        <v>1402.7841028349451</v>
      </c>
      <c r="CY9" s="3">
        <f>VLOOKUP(CY1,'Mortgage and Ammortization'!$D:$F,3,FALSE)</f>
        <v>1410.6747634133917</v>
      </c>
      <c r="CZ9" s="3">
        <f>VLOOKUP(CZ1,'Mortgage and Ammortization'!$D:$F,3,FALSE)</f>
        <v>1418.6098089575921</v>
      </c>
      <c r="DA9" s="3">
        <f>VLOOKUP(DA1,'Mortgage and Ammortization'!$D:$F,3,FALSE)</f>
        <v>1426.5894891329783</v>
      </c>
      <c r="DB9" s="3">
        <f>VLOOKUP(DB1,'Mortgage and Ammortization'!$D:$F,3,FALSE)</f>
        <v>1434.6140550093519</v>
      </c>
      <c r="DC9" s="3">
        <f>VLOOKUP(DC1,'Mortgage and Ammortization'!$D:$F,3,FALSE)</f>
        <v>1442.6837590687792</v>
      </c>
      <c r="DD9" s="3">
        <f>VLOOKUP(DD1,'Mortgage and Ammortization'!$D:$F,3,FALSE)</f>
        <v>1450.7988552135412</v>
      </c>
      <c r="DE9" s="3">
        <f>VLOOKUP(DE1,'Mortgage and Ammortization'!$D:$F,3,FALSE)</f>
        <v>1458.9595987741172</v>
      </c>
      <c r="DF9" s="3">
        <f>VLOOKUP(DF1,'Mortgage and Ammortization'!$D:$F,3,FALSE)</f>
        <v>1467.1662465172217</v>
      </c>
      <c r="DG9" s="3">
        <f>VLOOKUP(DG1,'Mortgage and Ammortization'!$D:$F,3,FALSE)</f>
        <v>1475.4190566538809</v>
      </c>
      <c r="DH9" s="3">
        <f>VLOOKUP(DH1,'Mortgage and Ammortization'!$D:$F,3,FALSE)</f>
        <v>1483.7182888475588</v>
      </c>
      <c r="DI9" s="3">
        <f>VLOOKUP(DI1,'Mortgage and Ammortization'!$D:$F,3,FALSE)</f>
        <v>1492.0642042223265</v>
      </c>
      <c r="DJ9" s="3">
        <f>VLOOKUP(DJ1,'Mortgage and Ammortization'!$D:$F,3,FALSE)</f>
        <v>1500.4570653710769</v>
      </c>
      <c r="DK9" s="3">
        <f>VLOOKUP(DK1,'Mortgage and Ammortization'!$D:$F,3,FALSE)</f>
        <v>1508.8971363637893</v>
      </c>
      <c r="DL9" s="3">
        <f>VLOOKUP(DL1,'Mortgage and Ammortization'!$D:$F,3,FALSE)</f>
        <v>1517.3846827558357</v>
      </c>
      <c r="DM9" s="3">
        <f>VLOOKUP(DM1,'Mortgage and Ammortization'!$D:$F,3,FALSE)</f>
        <v>1525.9199715963373</v>
      </c>
      <c r="DN9" s="3">
        <f>VLOOKUP(DN1,'Mortgage and Ammortization'!$D:$F,3,FALSE)</f>
        <v>1534.5032714365668</v>
      </c>
      <c r="DO9" s="3">
        <f>VLOOKUP(DO1,'Mortgage and Ammortization'!$D:$F,3,FALSE)</f>
        <v>1543.1348523383976</v>
      </c>
      <c r="DP9" s="3">
        <f>VLOOKUP(DP1,'Mortgage and Ammortization'!$D:$F,3,FALSE)</f>
        <v>1551.8149858828008</v>
      </c>
      <c r="DQ9" s="3">
        <f>VLOOKUP(DQ1,'Mortgage and Ammortization'!$D:$F,3,FALSE)</f>
        <v>1560.5439451783918</v>
      </c>
      <c r="DR9" s="3">
        <f>VLOOKUP(DR1,'Mortgage and Ammortization'!$D:$F,3,FALSE)</f>
        <v>1569.32200487002</v>
      </c>
      <c r="DS9" s="3">
        <f>VLOOKUP(DS1,'Mortgage and Ammortization'!$D:$F,3,FALSE)</f>
        <v>1578.1494411474137</v>
      </c>
      <c r="DT9" s="3">
        <f>VLOOKUP(DT1,'Mortgage and Ammortization'!$D:$F,3,FALSE)</f>
        <v>1587.0265317538683</v>
      </c>
      <c r="DU9" s="3">
        <f>VLOOKUP(DU1,'Mortgage and Ammortization'!$D:$F,3,FALSE)</f>
        <v>1595.9535559949836</v>
      </c>
      <c r="DV9" s="3">
        <f>VLOOKUP(DV1,'Mortgage and Ammortization'!$D:$F,3,FALSE)</f>
        <v>1604.9307947474556</v>
      </c>
    </row>
    <row r="10" spans="1:126" ht="3" customHeight="1" x14ac:dyDescent="0.45">
      <c r="E10" t="s">
        <v>77</v>
      </c>
      <c r="F10" s="48">
        <v>200000</v>
      </c>
      <c r="G10" s="48">
        <v>200000</v>
      </c>
      <c r="H10" s="48">
        <v>200000</v>
      </c>
      <c r="I10" s="48">
        <v>200000</v>
      </c>
      <c r="J10" s="48">
        <v>200000</v>
      </c>
      <c r="K10" s="48">
        <v>200000</v>
      </c>
      <c r="L10" s="48">
        <v>200000</v>
      </c>
      <c r="M10" s="48">
        <v>200000</v>
      </c>
      <c r="N10" s="48">
        <v>200000</v>
      </c>
      <c r="O10" s="48">
        <v>200000</v>
      </c>
      <c r="P10" s="48">
        <v>200000</v>
      </c>
      <c r="Q10" s="48">
        <v>200000</v>
      </c>
      <c r="R10" s="48">
        <v>200000</v>
      </c>
      <c r="S10" s="50">
        <v>200000</v>
      </c>
      <c r="T10" s="48">
        <v>200000</v>
      </c>
      <c r="U10" s="48">
        <v>200000</v>
      </c>
      <c r="V10" s="48">
        <v>200000</v>
      </c>
      <c r="W10" s="48">
        <v>200000</v>
      </c>
      <c r="X10" s="48">
        <v>200000</v>
      </c>
      <c r="Y10" s="48">
        <v>200000</v>
      </c>
      <c r="Z10" s="48">
        <v>200000</v>
      </c>
      <c r="AA10" s="48">
        <v>200000</v>
      </c>
      <c r="AB10" s="48">
        <v>200000</v>
      </c>
      <c r="AC10" s="48">
        <v>200000</v>
      </c>
      <c r="AD10" s="48">
        <v>200000</v>
      </c>
      <c r="AE10" s="48">
        <v>200000</v>
      </c>
      <c r="AF10" s="48">
        <v>200000</v>
      </c>
      <c r="AG10" s="48">
        <v>200000</v>
      </c>
      <c r="AH10" s="48">
        <v>200000</v>
      </c>
      <c r="AI10" s="48">
        <v>200000</v>
      </c>
      <c r="AJ10" s="48">
        <v>200000</v>
      </c>
      <c r="AK10" s="48">
        <v>200000</v>
      </c>
      <c r="AL10" s="48">
        <v>200000</v>
      </c>
      <c r="AM10" s="48">
        <v>200000</v>
      </c>
      <c r="AN10" s="48">
        <v>200000</v>
      </c>
      <c r="AO10" s="48">
        <v>200000</v>
      </c>
      <c r="AP10" s="48">
        <v>200000</v>
      </c>
      <c r="AQ10" s="48">
        <v>200000</v>
      </c>
      <c r="AR10" s="48">
        <v>200000</v>
      </c>
      <c r="AS10" s="48">
        <v>200000</v>
      </c>
      <c r="AT10" s="48">
        <v>200000</v>
      </c>
      <c r="AU10" s="48">
        <v>200000</v>
      </c>
      <c r="AV10" s="48">
        <v>200000</v>
      </c>
      <c r="AW10" s="48">
        <v>200000</v>
      </c>
      <c r="AX10" s="48">
        <v>200000</v>
      </c>
      <c r="AY10" s="48">
        <v>200000</v>
      </c>
      <c r="AZ10" s="48">
        <v>200000</v>
      </c>
      <c r="BA10" s="48">
        <v>200000</v>
      </c>
      <c r="BB10" s="48">
        <v>200000</v>
      </c>
      <c r="BC10" s="48">
        <v>200000</v>
      </c>
      <c r="BD10" s="48">
        <v>200000</v>
      </c>
      <c r="BE10" s="48">
        <v>200000</v>
      </c>
      <c r="BF10" s="48">
        <v>200000</v>
      </c>
      <c r="BG10" s="48">
        <v>200000</v>
      </c>
      <c r="BH10" s="48">
        <v>200000</v>
      </c>
      <c r="BI10" s="48">
        <v>200000</v>
      </c>
      <c r="BJ10" s="48">
        <v>200000</v>
      </c>
      <c r="BK10" s="48">
        <v>200000</v>
      </c>
      <c r="BL10" s="48">
        <v>200000</v>
      </c>
      <c r="BM10" s="48">
        <v>200000</v>
      </c>
      <c r="BN10" s="48">
        <v>200000</v>
      </c>
      <c r="BO10" s="48">
        <v>200000</v>
      </c>
      <c r="BP10" s="48">
        <v>200000</v>
      </c>
      <c r="BQ10" s="48">
        <v>200000</v>
      </c>
      <c r="BR10" s="48">
        <v>200000</v>
      </c>
      <c r="BS10" s="48">
        <v>200000</v>
      </c>
      <c r="BT10" s="48">
        <v>200000</v>
      </c>
      <c r="BU10" s="48">
        <v>200000</v>
      </c>
      <c r="BV10" s="48">
        <v>200000</v>
      </c>
      <c r="BW10" s="48">
        <v>200000</v>
      </c>
      <c r="BX10" s="48">
        <v>200000</v>
      </c>
      <c r="BY10" s="48">
        <v>200000</v>
      </c>
      <c r="BZ10" s="48">
        <v>200000</v>
      </c>
      <c r="CA10" s="48">
        <v>200000</v>
      </c>
      <c r="CB10" s="48">
        <v>200000</v>
      </c>
      <c r="CC10" s="48">
        <v>200000</v>
      </c>
      <c r="CD10" s="48">
        <v>200000</v>
      </c>
      <c r="CE10" s="48">
        <v>200000</v>
      </c>
      <c r="CF10" s="48">
        <v>200000</v>
      </c>
      <c r="CG10" s="48">
        <v>200000</v>
      </c>
      <c r="CH10" s="48">
        <v>200000</v>
      </c>
      <c r="CI10" s="48">
        <v>200000</v>
      </c>
      <c r="CJ10" s="48">
        <v>200000</v>
      </c>
      <c r="CK10" s="48">
        <v>200000</v>
      </c>
      <c r="CL10" s="48">
        <v>200000</v>
      </c>
      <c r="CM10" s="48">
        <v>200000</v>
      </c>
      <c r="CN10" s="48">
        <v>200000</v>
      </c>
      <c r="CO10" s="48">
        <v>200000</v>
      </c>
      <c r="CP10" s="48">
        <v>200000</v>
      </c>
      <c r="CQ10" s="48">
        <v>200000</v>
      </c>
      <c r="CR10" s="48">
        <v>200000</v>
      </c>
      <c r="CS10" s="48">
        <v>200000</v>
      </c>
      <c r="CT10" s="48">
        <v>200000</v>
      </c>
      <c r="CU10" s="48">
        <v>200000</v>
      </c>
      <c r="CV10" s="48">
        <v>200000</v>
      </c>
      <c r="CW10" s="48">
        <v>200000</v>
      </c>
      <c r="CX10" s="48">
        <v>200000</v>
      </c>
      <c r="CY10" s="48">
        <v>200000</v>
      </c>
      <c r="CZ10" s="48">
        <v>200000</v>
      </c>
      <c r="DA10" s="48">
        <v>200000</v>
      </c>
      <c r="DB10" s="48">
        <v>200000</v>
      </c>
      <c r="DC10" s="48">
        <v>200000</v>
      </c>
      <c r="DD10" s="48">
        <v>200000</v>
      </c>
      <c r="DE10" s="48">
        <v>200000</v>
      </c>
      <c r="DF10" s="48">
        <v>200000</v>
      </c>
      <c r="DG10" s="48">
        <v>200000</v>
      </c>
      <c r="DH10" s="48">
        <v>200000</v>
      </c>
      <c r="DI10" s="48">
        <v>200000</v>
      </c>
      <c r="DJ10" s="48">
        <v>200000</v>
      </c>
      <c r="DK10" s="48">
        <v>200000</v>
      </c>
      <c r="DL10" s="48">
        <v>200000</v>
      </c>
      <c r="DM10" s="48">
        <v>200000</v>
      </c>
      <c r="DN10" s="48">
        <v>200000</v>
      </c>
      <c r="DO10" s="48">
        <v>200000</v>
      </c>
      <c r="DP10" s="48">
        <v>200000</v>
      </c>
      <c r="DQ10" s="48">
        <v>200000</v>
      </c>
      <c r="DR10" s="48">
        <v>200000</v>
      </c>
      <c r="DS10" s="48">
        <v>200000</v>
      </c>
      <c r="DT10" s="48">
        <v>200000</v>
      </c>
      <c r="DU10" s="48">
        <v>200000</v>
      </c>
      <c r="DV10" s="48">
        <v>200000</v>
      </c>
    </row>
    <row r="11" spans="1:126" x14ac:dyDescent="0.45">
      <c r="A11" t="s">
        <v>64</v>
      </c>
      <c r="B11" s="1" t="e">
        <f ca="1">XIRR(F19:R19,F2:R2)</f>
        <v>#DIV/0!</v>
      </c>
      <c r="E11" t="s">
        <v>62</v>
      </c>
      <c r="F11" s="3">
        <f t="shared" ref="F11:K11" si="28">(F4*(1-$B$6))-F5</f>
        <v>-956250</v>
      </c>
      <c r="G11" s="3">
        <f t="shared" si="28"/>
        <v>-955426.68695156649</v>
      </c>
      <c r="H11" s="3">
        <f t="shared" si="28"/>
        <v>-954598.7427672355</v>
      </c>
      <c r="I11" s="3">
        <f t="shared" si="28"/>
        <v>-953766.14139686769</v>
      </c>
      <c r="J11" s="3">
        <f t="shared" si="28"/>
        <v>-952928.85664379154</v>
      </c>
      <c r="K11" s="3">
        <f t="shared" si="28"/>
        <v>-952086.86216397933</v>
      </c>
      <c r="L11" s="3">
        <f t="shared" ref="L11:Q11" si="29">(L4*(1-$B$6))-L5</f>
        <v>-951240.13146521815</v>
      </c>
      <c r="M11" s="3">
        <f t="shared" si="29"/>
        <v>-950388.63790627639</v>
      </c>
      <c r="N11" s="3">
        <f t="shared" si="29"/>
        <v>-949532.35469606565</v>
      </c>
      <c r="O11" s="3">
        <f t="shared" si="29"/>
        <v>-948671.25489279744</v>
      </c>
      <c r="P11" s="3">
        <f t="shared" si="29"/>
        <v>-947805.31140313589</v>
      </c>
      <c r="Q11" s="3">
        <f t="shared" si="29"/>
        <v>-946934.496981345</v>
      </c>
      <c r="R11" s="3">
        <f t="shared" ref="R11:AO11" si="30">(R4*(1-$B$6))-R5</f>
        <v>-946058.78422843153</v>
      </c>
      <c r="S11" s="46">
        <f t="shared" si="30"/>
        <v>-945178.14559128287</v>
      </c>
      <c r="T11" s="3">
        <f t="shared" si="30"/>
        <v>-944292.55336180027</v>
      </c>
      <c r="U11" s="3">
        <f t="shared" si="30"/>
        <v>-943401.97967602685</v>
      </c>
      <c r="V11" s="3">
        <f t="shared" si="30"/>
        <v>-942506.39651327091</v>
      </c>
      <c r="W11" s="3">
        <f t="shared" si="30"/>
        <v>-941605.77569522453</v>
      </c>
      <c r="X11" s="3">
        <f t="shared" si="30"/>
        <v>-940700.08888507658</v>
      </c>
      <c r="Y11" s="3">
        <f t="shared" si="30"/>
        <v>-939789.30758662161</v>
      </c>
      <c r="Z11" s="3">
        <f t="shared" si="30"/>
        <v>-938873.40314336284</v>
      </c>
      <c r="AA11" s="3">
        <f t="shared" si="30"/>
        <v>-937952.34673761064</v>
      </c>
      <c r="AB11" s="3">
        <f t="shared" si="30"/>
        <v>-937026.10938957613</v>
      </c>
      <c r="AC11" s="3">
        <f t="shared" si="30"/>
        <v>-936094.66195645893</v>
      </c>
      <c r="AD11" s="3">
        <f t="shared" si="30"/>
        <v>-935157.97513153043</v>
      </c>
      <c r="AE11" s="3">
        <f t="shared" si="30"/>
        <v>-934216.01944321173</v>
      </c>
      <c r="AF11" s="3">
        <f t="shared" si="30"/>
        <v>-933268.76525414619</v>
      </c>
      <c r="AG11" s="3">
        <f t="shared" si="30"/>
        <v>-932316.18276026717</v>
      </c>
      <c r="AH11" s="3">
        <f t="shared" si="30"/>
        <v>-931358.24198986008</v>
      </c>
      <c r="AI11" s="3">
        <f t="shared" si="30"/>
        <v>-930394.91280261951</v>
      </c>
      <c r="AJ11" s="3">
        <f t="shared" si="30"/>
        <v>-929426.1648887007</v>
      </c>
      <c r="AK11" s="3">
        <f t="shared" si="30"/>
        <v>-928451.96776776609</v>
      </c>
      <c r="AL11" s="3">
        <f t="shared" si="30"/>
        <v>-927472.29078802618</v>
      </c>
      <c r="AM11" s="3">
        <f t="shared" si="30"/>
        <v>-926487.10312527523</v>
      </c>
      <c r="AN11" s="3">
        <f t="shared" si="30"/>
        <v>-925496.37378192134</v>
      </c>
      <c r="AO11" s="3">
        <f t="shared" si="30"/>
        <v>-924500.07158601109</v>
      </c>
      <c r="AP11" s="3">
        <f t="shared" ref="AP11:BG11" si="31">(AP4*(1-$B$6))-AP5</f>
        <v>-923498.16519024887</v>
      </c>
      <c r="AQ11" s="3">
        <f t="shared" si="31"/>
        <v>-922490.62307101046</v>
      </c>
      <c r="AR11" s="3">
        <f t="shared" si="31"/>
        <v>-921477.41352735134</v>
      </c>
      <c r="AS11" s="3">
        <f t="shared" si="31"/>
        <v>-920458.50468000909</v>
      </c>
      <c r="AT11" s="3">
        <f t="shared" si="31"/>
        <v>-919433.86447040061</v>
      </c>
      <c r="AU11" s="3">
        <f t="shared" si="31"/>
        <v>-918403.46065961302</v>
      </c>
      <c r="AV11" s="3">
        <f t="shared" si="31"/>
        <v>-917367.26082738978</v>
      </c>
      <c r="AW11" s="3">
        <f t="shared" si="31"/>
        <v>-916325.23237111024</v>
      </c>
      <c r="AX11" s="3">
        <f t="shared" si="31"/>
        <v>-915277.34250476421</v>
      </c>
      <c r="AY11" s="3">
        <f t="shared" si="31"/>
        <v>-914223.55825791997</v>
      </c>
      <c r="AZ11" s="3">
        <f t="shared" si="31"/>
        <v>-913163.84647468722</v>
      </c>
      <c r="BA11" s="3">
        <f t="shared" si="31"/>
        <v>-912098.17381267378</v>
      </c>
      <c r="BB11" s="3">
        <f t="shared" si="31"/>
        <v>-911026.50674193655</v>
      </c>
      <c r="BC11" s="3">
        <f t="shared" si="31"/>
        <v>-909948.81154392636</v>
      </c>
      <c r="BD11" s="3">
        <f t="shared" si="31"/>
        <v>-908865.0543104274</v>
      </c>
      <c r="BE11" s="3">
        <f t="shared" si="31"/>
        <v>-907775.20094249002</v>
      </c>
      <c r="BF11" s="3">
        <f t="shared" si="31"/>
        <v>-906679.21714935801</v>
      </c>
      <c r="BG11" s="3">
        <f t="shared" si="31"/>
        <v>-905577.06844738964</v>
      </c>
      <c r="BH11" s="3">
        <f t="shared" ref="BH11:BM11" si="32">(BH4*(1-$B$6))-BH5</f>
        <v>-904468.72015897266</v>
      </c>
      <c r="BI11" s="3">
        <f t="shared" si="32"/>
        <v>-903354.13741143327</v>
      </c>
      <c r="BJ11" s="3">
        <f t="shared" si="32"/>
        <v>-902233.28513593902</v>
      </c>
      <c r="BK11" s="3">
        <f t="shared" si="32"/>
        <v>-901106.12806639506</v>
      </c>
      <c r="BL11" s="3">
        <f t="shared" si="32"/>
        <v>-899972.63073833496</v>
      </c>
      <c r="BM11" s="3">
        <f t="shared" si="32"/>
        <v>-898832.75748780451</v>
      </c>
      <c r="BN11" s="3">
        <f t="shared" ref="BN11:CK11" si="33">(BN4*(1-$B$6))-BN5</f>
        <v>-897686.47245023982</v>
      </c>
      <c r="BO11" s="3">
        <f t="shared" si="33"/>
        <v>-896533.73955933889</v>
      </c>
      <c r="BP11" s="3">
        <f t="shared" si="33"/>
        <v>-895374.52254592662</v>
      </c>
      <c r="BQ11" s="3">
        <f t="shared" si="33"/>
        <v>-894208.78493681387</v>
      </c>
      <c r="BR11" s="3">
        <f t="shared" si="33"/>
        <v>-893036.49005364988</v>
      </c>
      <c r="BS11" s="3">
        <f t="shared" si="33"/>
        <v>-891857.6010117681</v>
      </c>
      <c r="BT11" s="3">
        <f t="shared" si="33"/>
        <v>-890672.08071902569</v>
      </c>
      <c r="BU11" s="3">
        <f t="shared" si="33"/>
        <v>-889479.89187463664</v>
      </c>
      <c r="BV11" s="3">
        <f t="shared" si="33"/>
        <v>-888280.99696799787</v>
      </c>
      <c r="BW11" s="3">
        <f t="shared" si="33"/>
        <v>-887075.35827750934</v>
      </c>
      <c r="BX11" s="3">
        <f t="shared" si="33"/>
        <v>-885862.93786938675</v>
      </c>
      <c r="BY11" s="3">
        <f t="shared" si="33"/>
        <v>-884643.6975964685</v>
      </c>
      <c r="BZ11" s="3">
        <f t="shared" si="33"/>
        <v>-883417.5990970151</v>
      </c>
      <c r="CA11" s="3">
        <f t="shared" si="33"/>
        <v>-882184.6037935022</v>
      </c>
      <c r="CB11" s="3">
        <f t="shared" si="33"/>
        <v>-880944.67289140704</v>
      </c>
      <c r="CC11" s="3">
        <f t="shared" si="33"/>
        <v>-879697.76737798762</v>
      </c>
      <c r="CD11" s="3">
        <f t="shared" si="33"/>
        <v>-878443.84802105522</v>
      </c>
      <c r="CE11" s="3">
        <f t="shared" si="33"/>
        <v>-877182.87536774005</v>
      </c>
      <c r="CF11" s="3">
        <f t="shared" si="33"/>
        <v>-875914.80974325002</v>
      </c>
      <c r="CG11" s="3">
        <f t="shared" si="33"/>
        <v>-874639.61124962219</v>
      </c>
      <c r="CH11" s="3">
        <f t="shared" si="33"/>
        <v>-873357.23976446781</v>
      </c>
      <c r="CI11" s="3">
        <f t="shared" si="33"/>
        <v>-872067.65493970935</v>
      </c>
      <c r="CJ11" s="3">
        <f t="shared" si="33"/>
        <v>-870770.81620031164</v>
      </c>
      <c r="CK11" s="3">
        <f t="shared" si="33"/>
        <v>-869466.68274300487</v>
      </c>
      <c r="CL11" s="3">
        <f t="shared" ref="CL11:DU11" si="34">(CL4*(1-$B$6))-CL5</f>
        <v>-868155.21353500069</v>
      </c>
      <c r="CM11" s="3">
        <f t="shared" si="34"/>
        <v>-866836.36731270154</v>
      </c>
      <c r="CN11" s="3">
        <f t="shared" si="34"/>
        <v>-865510.10258040193</v>
      </c>
      <c r="CO11" s="3">
        <f t="shared" si="34"/>
        <v>-864176.37760898308</v>
      </c>
      <c r="CP11" s="3">
        <f t="shared" si="34"/>
        <v>-862835.15043460007</v>
      </c>
      <c r="CQ11" s="3">
        <f t="shared" si="34"/>
        <v>-861486.37885736115</v>
      </c>
      <c r="CR11" s="3">
        <f t="shared" si="34"/>
        <v>-860130.02044000023</v>
      </c>
      <c r="CS11" s="3">
        <f t="shared" si="34"/>
        <v>-858766.0325065417</v>
      </c>
      <c r="CT11" s="3">
        <f t="shared" si="34"/>
        <v>-857394.37214095739</v>
      </c>
      <c r="CU11" s="3">
        <f t="shared" si="34"/>
        <v>-856014.99618581671</v>
      </c>
      <c r="CV11" s="3">
        <f t="shared" si="34"/>
        <v>-854627.86124092841</v>
      </c>
      <c r="CW11" s="3">
        <f t="shared" si="34"/>
        <v>-853232.92366197507</v>
      </c>
      <c r="CX11" s="3">
        <f t="shared" si="34"/>
        <v>-851830.13955914008</v>
      </c>
      <c r="CY11" s="3">
        <f t="shared" si="34"/>
        <v>-850419.4647957267</v>
      </c>
      <c r="CZ11" s="3">
        <f t="shared" si="34"/>
        <v>-849000.85498676915</v>
      </c>
      <c r="DA11" s="3">
        <f t="shared" si="34"/>
        <v>-847574.26549763617</v>
      </c>
      <c r="DB11" s="3">
        <f t="shared" si="34"/>
        <v>-846139.65144262684</v>
      </c>
      <c r="DC11" s="3">
        <f t="shared" si="34"/>
        <v>-844696.96768355812</v>
      </c>
      <c r="DD11" s="3">
        <f t="shared" si="34"/>
        <v>-843246.16882834455</v>
      </c>
      <c r="DE11" s="3">
        <f t="shared" si="34"/>
        <v>-841787.20922957046</v>
      </c>
      <c r="DF11" s="3">
        <f t="shared" si="34"/>
        <v>-840320.04298305325</v>
      </c>
      <c r="DG11" s="3">
        <f t="shared" si="34"/>
        <v>-838844.62392639939</v>
      </c>
      <c r="DH11" s="3">
        <f t="shared" si="34"/>
        <v>-837360.9056375518</v>
      </c>
      <c r="DI11" s="3">
        <f t="shared" si="34"/>
        <v>-835868.84143332951</v>
      </c>
      <c r="DJ11" s="3">
        <f t="shared" si="34"/>
        <v>-834368.38436795841</v>
      </c>
      <c r="DK11" s="3">
        <f t="shared" si="34"/>
        <v>-832859.48723159463</v>
      </c>
      <c r="DL11" s="3">
        <f t="shared" si="34"/>
        <v>-831342.10254883883</v>
      </c>
      <c r="DM11" s="3">
        <f t="shared" si="34"/>
        <v>-829816.18257724249</v>
      </c>
      <c r="DN11" s="3">
        <f t="shared" si="34"/>
        <v>-828281.67930580594</v>
      </c>
      <c r="DO11" s="3">
        <f t="shared" si="34"/>
        <v>-826738.54445346759</v>
      </c>
      <c r="DP11" s="3">
        <f t="shared" si="34"/>
        <v>-825186.72946758475</v>
      </c>
      <c r="DQ11" s="3">
        <f t="shared" si="34"/>
        <v>-823626.18552240636</v>
      </c>
      <c r="DR11" s="3">
        <f t="shared" si="34"/>
        <v>-822056.86351753632</v>
      </c>
      <c r="DS11" s="3">
        <f t="shared" si="34"/>
        <v>-820478.71407638886</v>
      </c>
      <c r="DT11" s="3">
        <f t="shared" si="34"/>
        <v>-818891.68754463503</v>
      </c>
      <c r="DU11" s="3">
        <f t="shared" si="34"/>
        <v>-817295.73398864002</v>
      </c>
      <c r="DV11" s="3">
        <f>(DV4*(1-$B$6))-DV5</f>
        <v>-815690.80319389259</v>
      </c>
    </row>
    <row r="12" spans="1:126" x14ac:dyDescent="0.45">
      <c r="A12" t="s">
        <v>65</v>
      </c>
      <c r="B12" s="1" t="e">
        <f ca="1">XIRR(F20:AP20,F2:AP2)</f>
        <v>#DIV/0!</v>
      </c>
    </row>
    <row r="13" spans="1:126" x14ac:dyDescent="0.45">
      <c r="A13" t="s">
        <v>72</v>
      </c>
      <c r="B13" s="1" t="e">
        <f ca="1">XIRR(F21:BN21,F2:BN2)</f>
        <v>#DIV/0!</v>
      </c>
      <c r="E13" s="42" t="s">
        <v>74</v>
      </c>
      <c r="F13" s="1">
        <f>((F6+SUM($F$8:F8))/$F$6)-1</f>
        <v>0</v>
      </c>
      <c r="G13" s="1" t="e">
        <f>((G6+SUM($F$8:G8))/$F$6)-1</f>
        <v>#DIV/0!</v>
      </c>
      <c r="H13" s="1" t="e">
        <f>((H6+SUM($F$8:H8))/$F$6)-1</f>
        <v>#DIV/0!</v>
      </c>
      <c r="I13" s="1" t="e">
        <f>((I6+SUM($F$8:I8))/$F$6)-1</f>
        <v>#DIV/0!</v>
      </c>
      <c r="J13" s="1" t="e">
        <f>((J6+SUM($F$8:J8))/$F$6)-1</f>
        <v>#DIV/0!</v>
      </c>
      <c r="K13" s="1" t="e">
        <f>((K6+SUM($F$8:K8))/$F$6)-1</f>
        <v>#DIV/0!</v>
      </c>
      <c r="L13" s="1" t="e">
        <f>((L6+SUM($F$8:L8))/$F$6)-1</f>
        <v>#DIV/0!</v>
      </c>
      <c r="M13" s="1" t="e">
        <f>((M6+SUM($F$8:M8))/$F$6)-1</f>
        <v>#DIV/0!</v>
      </c>
      <c r="N13" s="1" t="e">
        <f>((N6+SUM($F$8:N8))/$F$6)-1</f>
        <v>#DIV/0!</v>
      </c>
      <c r="O13" s="1" t="e">
        <f>((O6+SUM($F$8:O8))/$F$6)-1</f>
        <v>#DIV/0!</v>
      </c>
      <c r="P13" s="1" t="e">
        <f>((P6+SUM($F$8:P8))/$F$6)-1</f>
        <v>#DIV/0!</v>
      </c>
      <c r="Q13" s="1" t="e">
        <f>((Q6+SUM($F$8:Q8))/$F$6)-1</f>
        <v>#DIV/0!</v>
      </c>
      <c r="R13" s="1" t="e">
        <f>((R6+SUM($F$8:R8))/$F$6)-1</f>
        <v>#DIV/0!</v>
      </c>
      <c r="S13" s="47" t="e">
        <f>((S6+SUM($F$8:S8))/$F$6)-1</f>
        <v>#DIV/0!</v>
      </c>
      <c r="T13" s="1" t="e">
        <f>((T6+SUM($F$8:T8))/$F$6)-1</f>
        <v>#DIV/0!</v>
      </c>
      <c r="U13" s="1" t="e">
        <f>((U6+SUM($F$8:U8))/$F$6)-1</f>
        <v>#DIV/0!</v>
      </c>
      <c r="V13" s="1" t="e">
        <f>((V6+SUM($F$8:V8))/$F$6)-1</f>
        <v>#DIV/0!</v>
      </c>
      <c r="W13" s="1" t="e">
        <f>((W6+SUM($F$8:W8))/$F$6)-1</f>
        <v>#DIV/0!</v>
      </c>
      <c r="X13" s="1" t="e">
        <f>((X6+SUM($F$8:X8))/$F$6)-1</f>
        <v>#DIV/0!</v>
      </c>
      <c r="Y13" s="1" t="e">
        <f>((Y6+SUM($F$8:Y8))/$F$6)-1</f>
        <v>#DIV/0!</v>
      </c>
      <c r="Z13" s="1" t="e">
        <f>((Z6+SUM($F$8:Z8))/$F$6)-1</f>
        <v>#DIV/0!</v>
      </c>
      <c r="AA13" s="1" t="e">
        <f>((AA6+SUM($F$8:AA8))/$F$6)-1</f>
        <v>#DIV/0!</v>
      </c>
      <c r="AB13" s="1" t="e">
        <f>((AB6+SUM($F$8:AB8))/$F$6)-1</f>
        <v>#DIV/0!</v>
      </c>
      <c r="AC13" s="1" t="e">
        <f>((AC6+SUM($F$8:AC8))/$F$6)-1</f>
        <v>#DIV/0!</v>
      </c>
      <c r="AD13" s="1" t="e">
        <f>((AD6+SUM($F$8:AD8))/$F$6)-1</f>
        <v>#DIV/0!</v>
      </c>
      <c r="AE13" s="1" t="e">
        <f>((AE6+SUM($F$8:AE8))/$F$6)-1</f>
        <v>#DIV/0!</v>
      </c>
      <c r="AF13" s="1" t="e">
        <f>((AF6+SUM($F$8:AF8))/$F$6)-1</f>
        <v>#DIV/0!</v>
      </c>
      <c r="AG13" s="1" t="e">
        <f>((AG6+SUM($F$8:AG8))/$F$6)-1</f>
        <v>#DIV/0!</v>
      </c>
      <c r="AH13" s="1" t="e">
        <f>((AH6+SUM($F$8:AH8))/$F$6)-1</f>
        <v>#DIV/0!</v>
      </c>
      <c r="AI13" s="1" t="e">
        <f>((AI6+SUM($F$8:AI8))/$F$6)-1</f>
        <v>#DIV/0!</v>
      </c>
      <c r="AJ13" s="1" t="e">
        <f>((AJ6+SUM($F$8:AJ8))/$F$6)-1</f>
        <v>#DIV/0!</v>
      </c>
      <c r="AK13" s="1" t="e">
        <f>((AK6+SUM($F$8:AK8))/$F$6)-1</f>
        <v>#DIV/0!</v>
      </c>
      <c r="AL13" s="1" t="e">
        <f>((AL6+SUM($F$8:AL8))/$F$6)-1</f>
        <v>#DIV/0!</v>
      </c>
      <c r="AM13" s="1" t="e">
        <f>((AM6+SUM($F$8:AM8))/$F$6)-1</f>
        <v>#DIV/0!</v>
      </c>
      <c r="AN13" s="1" t="e">
        <f>((AN6+SUM($F$8:AN8))/$F$6)-1</f>
        <v>#DIV/0!</v>
      </c>
      <c r="AO13" s="1" t="e">
        <f>((AO6+SUM($F$8:AO8))/$F$6)-1</f>
        <v>#DIV/0!</v>
      </c>
      <c r="AP13" s="1" t="e">
        <f>((AP6+SUM($F$8:AP8))/$F$6)-1</f>
        <v>#DIV/0!</v>
      </c>
      <c r="AQ13" s="1" t="e">
        <f>((AQ6+SUM($F$8:AQ8))/$F$6)-1</f>
        <v>#DIV/0!</v>
      </c>
      <c r="AR13" s="1" t="e">
        <f>((AR6+SUM($F$8:AR8))/$F$6)-1</f>
        <v>#DIV/0!</v>
      </c>
      <c r="AS13" s="1" t="e">
        <f>((AS6+SUM($F$8:AS8))/$F$6)-1</f>
        <v>#DIV/0!</v>
      </c>
      <c r="AT13" s="1" t="e">
        <f>((AT6+SUM($F$8:AT8))/$F$6)-1</f>
        <v>#DIV/0!</v>
      </c>
      <c r="AU13" s="1" t="e">
        <f>((AU6+SUM($F$8:AU8))/$F$6)-1</f>
        <v>#DIV/0!</v>
      </c>
      <c r="AV13" s="1" t="e">
        <f>((AV6+SUM($F$8:AV8))/$F$6)-1</f>
        <v>#DIV/0!</v>
      </c>
      <c r="AW13" s="1" t="e">
        <f>((AW6+SUM($F$8:AW8))/$F$6)-1</f>
        <v>#DIV/0!</v>
      </c>
      <c r="AX13" s="1" t="e">
        <f>((AX6+SUM($F$8:AX8))/$F$6)-1</f>
        <v>#DIV/0!</v>
      </c>
      <c r="AY13" s="1" t="e">
        <f>((AY6+SUM($F$8:AY8))/$F$6)-1</f>
        <v>#DIV/0!</v>
      </c>
      <c r="AZ13" s="1" t="e">
        <f>((AZ6+SUM($F$8:AZ8))/$F$6)-1</f>
        <v>#DIV/0!</v>
      </c>
      <c r="BA13" s="1" t="e">
        <f>((BA6+SUM($F$8:BA8))/$F$6)-1</f>
        <v>#DIV/0!</v>
      </c>
      <c r="BB13" s="1" t="e">
        <f>((BB6+SUM($F$8:BB8))/$F$6)-1</f>
        <v>#DIV/0!</v>
      </c>
      <c r="BC13" s="1" t="e">
        <f>((BC6+SUM($F$8:BC8))/$F$6)-1</f>
        <v>#DIV/0!</v>
      </c>
      <c r="BD13" s="1" t="e">
        <f>((BD6+SUM($F$8:BD8))/$F$6)-1</f>
        <v>#DIV/0!</v>
      </c>
      <c r="BE13" s="1" t="e">
        <f>((BE6+SUM($F$8:BE8))/$F$6)-1</f>
        <v>#DIV/0!</v>
      </c>
      <c r="BF13" s="1" t="e">
        <f>((BF6+SUM($F$8:BF8))/$F$6)-1</f>
        <v>#DIV/0!</v>
      </c>
      <c r="BG13" s="1" t="e">
        <f>((BG6+SUM($F$8:BG8))/$F$6)-1</f>
        <v>#DIV/0!</v>
      </c>
      <c r="BH13" s="1" t="e">
        <f>((BH6+SUM($F$8:BH8))/$F$6)-1</f>
        <v>#DIV/0!</v>
      </c>
      <c r="BI13" s="1" t="e">
        <f>((BI6+SUM($F$8:BI8))/$F$6)-1</f>
        <v>#DIV/0!</v>
      </c>
      <c r="BJ13" s="1" t="e">
        <f>((BJ6+SUM($F$8:BJ8))/$F$6)-1</f>
        <v>#DIV/0!</v>
      </c>
      <c r="BK13" s="1" t="e">
        <f>((BK6+SUM($F$8:BK8))/$F$6)-1</f>
        <v>#DIV/0!</v>
      </c>
      <c r="BL13" s="1" t="e">
        <f>((BL6+SUM($F$8:BL8))/$F$6)-1</f>
        <v>#DIV/0!</v>
      </c>
      <c r="BM13" s="1" t="e">
        <f>((BM6+SUM($F$8:BM8))/$F$6)-1</f>
        <v>#DIV/0!</v>
      </c>
      <c r="BN13" s="1" t="e">
        <f>((BN6+SUM($F$8:BN8))/$F$6)-1</f>
        <v>#DIV/0!</v>
      </c>
      <c r="BO13" s="1" t="e">
        <f>((BO6+SUM($F$8:BO8))/$F$6)-1</f>
        <v>#DIV/0!</v>
      </c>
      <c r="BP13" s="1" t="e">
        <f>((BP6+SUM($F$8:BP8))/$F$6)-1</f>
        <v>#DIV/0!</v>
      </c>
      <c r="BQ13" s="1" t="e">
        <f>((BQ6+SUM($F$8:BQ8))/$F$6)-1</f>
        <v>#DIV/0!</v>
      </c>
      <c r="BR13" s="1" t="e">
        <f>((BR6+SUM($F$8:BR8))/$F$6)-1</f>
        <v>#DIV/0!</v>
      </c>
      <c r="BS13" s="1" t="e">
        <f>((BS6+SUM($F$8:BS8))/$F$6)-1</f>
        <v>#DIV/0!</v>
      </c>
      <c r="BT13" s="1" t="e">
        <f>((BT6+SUM($F$8:BT8))/$F$6)-1</f>
        <v>#DIV/0!</v>
      </c>
      <c r="BU13" s="1" t="e">
        <f>((BU6+SUM($F$8:BU8))/$F$6)-1</f>
        <v>#DIV/0!</v>
      </c>
      <c r="BV13" s="1" t="e">
        <f>((BV6+SUM($F$8:BV8))/$F$6)-1</f>
        <v>#DIV/0!</v>
      </c>
      <c r="BW13" s="1" t="e">
        <f>((BW6+SUM($F$8:BW8))/$F$6)-1</f>
        <v>#DIV/0!</v>
      </c>
      <c r="BX13" s="1" t="e">
        <f>((BX6+SUM($F$8:BX8))/$F$6)-1</f>
        <v>#DIV/0!</v>
      </c>
      <c r="BY13" s="1" t="e">
        <f>((BY6+SUM($F$8:BY8))/$F$6)-1</f>
        <v>#DIV/0!</v>
      </c>
      <c r="BZ13" s="1" t="e">
        <f>((BZ6+SUM($F$8:BZ8))/$F$6)-1</f>
        <v>#DIV/0!</v>
      </c>
      <c r="CA13" s="1" t="e">
        <f>((CA6+SUM($F$8:CA8))/$F$6)-1</f>
        <v>#DIV/0!</v>
      </c>
      <c r="CB13" s="1" t="e">
        <f>((CB6+SUM($F$8:CB8))/$F$6)-1</f>
        <v>#DIV/0!</v>
      </c>
      <c r="CC13" s="1" t="e">
        <f>((CC6+SUM($F$8:CC8))/$F$6)-1</f>
        <v>#DIV/0!</v>
      </c>
      <c r="CD13" s="1" t="e">
        <f>((CD6+SUM($F$8:CD8))/$F$6)-1</f>
        <v>#DIV/0!</v>
      </c>
      <c r="CE13" s="1" t="e">
        <f>((CE6+SUM($F$8:CE8))/$F$6)-1</f>
        <v>#DIV/0!</v>
      </c>
      <c r="CF13" s="1" t="e">
        <f>((CF6+SUM($F$8:CF8))/$F$6)-1</f>
        <v>#DIV/0!</v>
      </c>
      <c r="CG13" s="1" t="e">
        <f>((CG6+SUM($F$8:CG8))/$F$6)-1</f>
        <v>#DIV/0!</v>
      </c>
      <c r="CH13" s="1" t="e">
        <f>((CH6+SUM($F$8:CH8))/$F$6)-1</f>
        <v>#DIV/0!</v>
      </c>
      <c r="CI13" s="1" t="e">
        <f>((CI6+SUM($F$8:CI8))/$F$6)-1</f>
        <v>#DIV/0!</v>
      </c>
      <c r="CJ13" s="1" t="e">
        <f>((CJ6+SUM($F$8:CJ8))/$F$6)-1</f>
        <v>#DIV/0!</v>
      </c>
      <c r="CK13" s="1" t="e">
        <f>((CK6+SUM($F$8:CK8))/$F$6)-1</f>
        <v>#DIV/0!</v>
      </c>
      <c r="CL13" s="1" t="e">
        <f>((CL6+SUM($F$8:CL8))/$F$6)-1</f>
        <v>#DIV/0!</v>
      </c>
      <c r="CM13" s="1" t="e">
        <f>((CM6+SUM($F$8:CM8))/$F$6)-1</f>
        <v>#DIV/0!</v>
      </c>
      <c r="CN13" s="1" t="e">
        <f>((CN6+SUM($F$8:CN8))/$F$6)-1</f>
        <v>#DIV/0!</v>
      </c>
      <c r="CO13" s="1" t="e">
        <f>((CO6+SUM($F$8:CO8))/$F$6)-1</f>
        <v>#DIV/0!</v>
      </c>
      <c r="CP13" s="1" t="e">
        <f>((CP6+SUM($F$8:CP8))/$F$6)-1</f>
        <v>#DIV/0!</v>
      </c>
      <c r="CQ13" s="1" t="e">
        <f>((CQ6+SUM($F$8:CQ8))/$F$6)-1</f>
        <v>#DIV/0!</v>
      </c>
      <c r="CR13" s="1" t="e">
        <f>((CR6+SUM($F$8:CR8))/$F$6)-1</f>
        <v>#DIV/0!</v>
      </c>
      <c r="CS13" s="1" t="e">
        <f>((CS6+SUM($F$8:CS8))/$F$6)-1</f>
        <v>#DIV/0!</v>
      </c>
      <c r="CT13" s="1" t="e">
        <f>((CT6+SUM($F$8:CT8))/$F$6)-1</f>
        <v>#DIV/0!</v>
      </c>
      <c r="CU13" s="1" t="e">
        <f>((CU6+SUM($F$8:CU8))/$F$6)-1</f>
        <v>#DIV/0!</v>
      </c>
      <c r="CV13" s="1" t="e">
        <f>((CV6+SUM($F$8:CV8))/$F$6)-1</f>
        <v>#DIV/0!</v>
      </c>
      <c r="CW13" s="1" t="e">
        <f>((CW6+SUM($F$8:CW8))/$F$6)-1</f>
        <v>#DIV/0!</v>
      </c>
      <c r="CX13" s="1" t="e">
        <f>((CX6+SUM($F$8:CX8))/$F$6)-1</f>
        <v>#DIV/0!</v>
      </c>
      <c r="CY13" s="1" t="e">
        <f>((CY6+SUM($F$8:CY8))/$F$6)-1</f>
        <v>#DIV/0!</v>
      </c>
      <c r="CZ13" s="1" t="e">
        <f>((CZ6+SUM($F$8:CZ8))/$F$6)-1</f>
        <v>#DIV/0!</v>
      </c>
      <c r="DA13" s="1" t="e">
        <f>((DA6+SUM($F$8:DA8))/$F$6)-1</f>
        <v>#DIV/0!</v>
      </c>
      <c r="DB13" s="1" t="e">
        <f>((DB6+SUM($F$8:DB8))/$F$6)-1</f>
        <v>#DIV/0!</v>
      </c>
      <c r="DC13" s="1" t="e">
        <f>((DC6+SUM($F$8:DC8))/$F$6)-1</f>
        <v>#DIV/0!</v>
      </c>
      <c r="DD13" s="1" t="e">
        <f>((DD6+SUM($F$8:DD8))/$F$6)-1</f>
        <v>#DIV/0!</v>
      </c>
      <c r="DE13" s="1" t="e">
        <f>((DE6+SUM($F$8:DE8))/$F$6)-1</f>
        <v>#DIV/0!</v>
      </c>
      <c r="DF13" s="1" t="e">
        <f>((DF6+SUM($F$8:DF8))/$F$6)-1</f>
        <v>#DIV/0!</v>
      </c>
      <c r="DG13" s="1" t="e">
        <f>((DG6+SUM($F$8:DG8))/$F$6)-1</f>
        <v>#DIV/0!</v>
      </c>
      <c r="DH13" s="1" t="e">
        <f>((DH6+SUM($F$8:DH8))/$F$6)-1</f>
        <v>#DIV/0!</v>
      </c>
      <c r="DI13" s="1" t="e">
        <f>((DI6+SUM($F$8:DI8))/$F$6)-1</f>
        <v>#DIV/0!</v>
      </c>
      <c r="DJ13" s="1" t="e">
        <f>((DJ6+SUM($F$8:DJ8))/$F$6)-1</f>
        <v>#DIV/0!</v>
      </c>
      <c r="DK13" s="1" t="e">
        <f>((DK6+SUM($F$8:DK8))/$F$6)-1</f>
        <v>#DIV/0!</v>
      </c>
      <c r="DL13" s="1" t="e">
        <f>((DL6+SUM($F$8:DL8))/$F$6)-1</f>
        <v>#DIV/0!</v>
      </c>
      <c r="DM13" s="1" t="e">
        <f>((DM6+SUM($F$8:DM8))/$F$6)-1</f>
        <v>#DIV/0!</v>
      </c>
      <c r="DN13" s="1" t="e">
        <f>((DN6+SUM($F$8:DN8))/$F$6)-1</f>
        <v>#DIV/0!</v>
      </c>
      <c r="DO13" s="1" t="e">
        <f>((DO6+SUM($F$8:DO8))/$F$6)-1</f>
        <v>#DIV/0!</v>
      </c>
      <c r="DP13" s="1" t="e">
        <f>((DP6+SUM($F$8:DP8))/$F$6)-1</f>
        <v>#DIV/0!</v>
      </c>
      <c r="DQ13" s="1" t="e">
        <f>((DQ6+SUM($F$8:DQ8))/$F$6)-1</f>
        <v>#DIV/0!</v>
      </c>
      <c r="DR13" s="1" t="e">
        <f>((DR6+SUM($F$8:DR8))/$F$6)-1</f>
        <v>#DIV/0!</v>
      </c>
      <c r="DS13" s="1" t="e">
        <f>((DS6+SUM($F$8:DS8))/$F$6)-1</f>
        <v>#DIV/0!</v>
      </c>
      <c r="DT13" s="1" t="e">
        <f>((DT6+SUM($F$8:DT8))/$F$6)-1</f>
        <v>#DIV/0!</v>
      </c>
      <c r="DU13" s="1" t="e">
        <f>((DU6+SUM($F$8:DU8))/$F$6)-1</f>
        <v>#DIV/0!</v>
      </c>
      <c r="DV13" s="1" t="e">
        <f>((DV6+SUM($F$8:DV8))/$F$6)-1</f>
        <v>#DIV/0!</v>
      </c>
    </row>
    <row r="14" spans="1:126" x14ac:dyDescent="0.45">
      <c r="A14" t="s">
        <v>66</v>
      </c>
      <c r="B14" s="1" t="e">
        <f ca="1">XIRR(F22:CL22,F2:CL2)</f>
        <v>#DIV/0!</v>
      </c>
      <c r="E14" s="42" t="s">
        <v>75</v>
      </c>
      <c r="F14" s="1">
        <v>0</v>
      </c>
      <c r="G14" s="1" t="e">
        <f t="shared" ref="G14:R14" si="35">(1+G13)^(12/G1)-1</f>
        <v>#DIV/0!</v>
      </c>
      <c r="H14" s="1" t="e">
        <f t="shared" si="35"/>
        <v>#DIV/0!</v>
      </c>
      <c r="I14" s="1" t="e">
        <f t="shared" si="35"/>
        <v>#DIV/0!</v>
      </c>
      <c r="J14" s="1" t="e">
        <f t="shared" si="35"/>
        <v>#DIV/0!</v>
      </c>
      <c r="K14" s="1" t="e">
        <f t="shared" si="35"/>
        <v>#DIV/0!</v>
      </c>
      <c r="L14" s="1" t="e">
        <f t="shared" si="35"/>
        <v>#DIV/0!</v>
      </c>
      <c r="M14" s="1" t="e">
        <f t="shared" si="35"/>
        <v>#DIV/0!</v>
      </c>
      <c r="N14" s="1" t="e">
        <f t="shared" si="35"/>
        <v>#DIV/0!</v>
      </c>
      <c r="O14" s="1" t="e">
        <f t="shared" si="35"/>
        <v>#DIV/0!</v>
      </c>
      <c r="P14" s="1" t="e">
        <f t="shared" si="35"/>
        <v>#DIV/0!</v>
      </c>
      <c r="Q14" s="1" t="e">
        <f t="shared" si="35"/>
        <v>#DIV/0!</v>
      </c>
      <c r="R14" s="1" t="e">
        <f t="shared" si="35"/>
        <v>#DIV/0!</v>
      </c>
      <c r="S14" s="47" t="e">
        <f t="shared" ref="S14:AX14" si="36">(1+S13)^(12/S1)-1</f>
        <v>#DIV/0!</v>
      </c>
      <c r="T14" s="1" t="e">
        <f t="shared" si="36"/>
        <v>#DIV/0!</v>
      </c>
      <c r="U14" s="1" t="e">
        <f t="shared" si="36"/>
        <v>#DIV/0!</v>
      </c>
      <c r="V14" s="1" t="e">
        <f t="shared" si="36"/>
        <v>#DIV/0!</v>
      </c>
      <c r="W14" s="1" t="e">
        <f t="shared" si="36"/>
        <v>#DIV/0!</v>
      </c>
      <c r="X14" s="1" t="e">
        <f t="shared" si="36"/>
        <v>#DIV/0!</v>
      </c>
      <c r="Y14" s="1" t="e">
        <f t="shared" si="36"/>
        <v>#DIV/0!</v>
      </c>
      <c r="Z14" s="1" t="e">
        <f t="shared" si="36"/>
        <v>#DIV/0!</v>
      </c>
      <c r="AA14" s="1" t="e">
        <f t="shared" si="36"/>
        <v>#DIV/0!</v>
      </c>
      <c r="AB14" s="1" t="e">
        <f t="shared" si="36"/>
        <v>#DIV/0!</v>
      </c>
      <c r="AC14" s="1" t="e">
        <f t="shared" si="36"/>
        <v>#DIV/0!</v>
      </c>
      <c r="AD14" s="1" t="e">
        <f t="shared" si="36"/>
        <v>#DIV/0!</v>
      </c>
      <c r="AE14" s="1" t="e">
        <f t="shared" si="36"/>
        <v>#DIV/0!</v>
      </c>
      <c r="AF14" s="1" t="e">
        <f t="shared" si="36"/>
        <v>#DIV/0!</v>
      </c>
      <c r="AG14" s="1" t="e">
        <f t="shared" si="36"/>
        <v>#DIV/0!</v>
      </c>
      <c r="AH14" s="1" t="e">
        <f t="shared" si="36"/>
        <v>#DIV/0!</v>
      </c>
      <c r="AI14" s="1" t="e">
        <f t="shared" si="36"/>
        <v>#DIV/0!</v>
      </c>
      <c r="AJ14" s="1" t="e">
        <f t="shared" si="36"/>
        <v>#DIV/0!</v>
      </c>
      <c r="AK14" s="1" t="e">
        <f t="shared" si="36"/>
        <v>#DIV/0!</v>
      </c>
      <c r="AL14" s="1" t="e">
        <f t="shared" si="36"/>
        <v>#DIV/0!</v>
      </c>
      <c r="AM14" s="1" t="e">
        <f t="shared" si="36"/>
        <v>#DIV/0!</v>
      </c>
      <c r="AN14" s="1" t="e">
        <f t="shared" si="36"/>
        <v>#DIV/0!</v>
      </c>
      <c r="AO14" s="1" t="e">
        <f t="shared" si="36"/>
        <v>#DIV/0!</v>
      </c>
      <c r="AP14" s="1" t="e">
        <f t="shared" si="36"/>
        <v>#DIV/0!</v>
      </c>
      <c r="AQ14" s="1" t="e">
        <f t="shared" si="36"/>
        <v>#DIV/0!</v>
      </c>
      <c r="AR14" s="1" t="e">
        <f t="shared" si="36"/>
        <v>#DIV/0!</v>
      </c>
      <c r="AS14" s="1" t="e">
        <f t="shared" si="36"/>
        <v>#DIV/0!</v>
      </c>
      <c r="AT14" s="1" t="e">
        <f t="shared" si="36"/>
        <v>#DIV/0!</v>
      </c>
      <c r="AU14" s="1" t="e">
        <f t="shared" si="36"/>
        <v>#DIV/0!</v>
      </c>
      <c r="AV14" s="1" t="e">
        <f t="shared" si="36"/>
        <v>#DIV/0!</v>
      </c>
      <c r="AW14" s="1" t="e">
        <f t="shared" si="36"/>
        <v>#DIV/0!</v>
      </c>
      <c r="AX14" s="1" t="e">
        <f t="shared" si="36"/>
        <v>#DIV/0!</v>
      </c>
      <c r="AY14" s="1" t="e">
        <f t="shared" ref="AY14:CD14" si="37">(1+AY13)^(12/AY1)-1</f>
        <v>#DIV/0!</v>
      </c>
      <c r="AZ14" s="1" t="e">
        <f t="shared" si="37"/>
        <v>#DIV/0!</v>
      </c>
      <c r="BA14" s="1" t="e">
        <f t="shared" si="37"/>
        <v>#DIV/0!</v>
      </c>
      <c r="BB14" s="1" t="e">
        <f t="shared" si="37"/>
        <v>#DIV/0!</v>
      </c>
      <c r="BC14" s="1" t="e">
        <f t="shared" si="37"/>
        <v>#DIV/0!</v>
      </c>
      <c r="BD14" s="1" t="e">
        <f t="shared" si="37"/>
        <v>#DIV/0!</v>
      </c>
      <c r="BE14" s="1" t="e">
        <f t="shared" si="37"/>
        <v>#DIV/0!</v>
      </c>
      <c r="BF14" s="1" t="e">
        <f t="shared" si="37"/>
        <v>#DIV/0!</v>
      </c>
      <c r="BG14" s="1" t="e">
        <f t="shared" si="37"/>
        <v>#DIV/0!</v>
      </c>
      <c r="BH14" s="1" t="e">
        <f t="shared" si="37"/>
        <v>#DIV/0!</v>
      </c>
      <c r="BI14" s="1" t="e">
        <f t="shared" si="37"/>
        <v>#DIV/0!</v>
      </c>
      <c r="BJ14" s="1" t="e">
        <f t="shared" si="37"/>
        <v>#DIV/0!</v>
      </c>
      <c r="BK14" s="1" t="e">
        <f t="shared" si="37"/>
        <v>#DIV/0!</v>
      </c>
      <c r="BL14" s="1" t="e">
        <f t="shared" si="37"/>
        <v>#DIV/0!</v>
      </c>
      <c r="BM14" s="1" t="e">
        <f t="shared" si="37"/>
        <v>#DIV/0!</v>
      </c>
      <c r="BN14" s="1" t="e">
        <f t="shared" si="37"/>
        <v>#DIV/0!</v>
      </c>
      <c r="BO14" s="1" t="e">
        <f t="shared" si="37"/>
        <v>#DIV/0!</v>
      </c>
      <c r="BP14" s="1" t="e">
        <f t="shared" si="37"/>
        <v>#DIV/0!</v>
      </c>
      <c r="BQ14" s="1" t="e">
        <f t="shared" si="37"/>
        <v>#DIV/0!</v>
      </c>
      <c r="BR14" s="1" t="e">
        <f t="shared" si="37"/>
        <v>#DIV/0!</v>
      </c>
      <c r="BS14" s="1" t="e">
        <f t="shared" si="37"/>
        <v>#DIV/0!</v>
      </c>
      <c r="BT14" s="1" t="e">
        <f t="shared" si="37"/>
        <v>#DIV/0!</v>
      </c>
      <c r="BU14" s="1" t="e">
        <f t="shared" si="37"/>
        <v>#DIV/0!</v>
      </c>
      <c r="BV14" s="1" t="e">
        <f t="shared" si="37"/>
        <v>#DIV/0!</v>
      </c>
      <c r="BW14" s="1" t="e">
        <f t="shared" si="37"/>
        <v>#DIV/0!</v>
      </c>
      <c r="BX14" s="1" t="e">
        <f t="shared" si="37"/>
        <v>#DIV/0!</v>
      </c>
      <c r="BY14" s="1" t="e">
        <f t="shared" si="37"/>
        <v>#DIV/0!</v>
      </c>
      <c r="BZ14" s="1" t="e">
        <f t="shared" si="37"/>
        <v>#DIV/0!</v>
      </c>
      <c r="CA14" s="1" t="e">
        <f t="shared" si="37"/>
        <v>#DIV/0!</v>
      </c>
      <c r="CB14" s="1" t="e">
        <f t="shared" si="37"/>
        <v>#DIV/0!</v>
      </c>
      <c r="CC14" s="1" t="e">
        <f t="shared" si="37"/>
        <v>#DIV/0!</v>
      </c>
      <c r="CD14" s="1" t="e">
        <f t="shared" si="37"/>
        <v>#DIV/0!</v>
      </c>
      <c r="CE14" s="1" t="e">
        <f t="shared" ref="CE14:DJ14" si="38">(1+CE13)^(12/CE1)-1</f>
        <v>#DIV/0!</v>
      </c>
      <c r="CF14" s="1" t="e">
        <f t="shared" si="38"/>
        <v>#DIV/0!</v>
      </c>
      <c r="CG14" s="1" t="e">
        <f t="shared" si="38"/>
        <v>#DIV/0!</v>
      </c>
      <c r="CH14" s="1" t="e">
        <f t="shared" si="38"/>
        <v>#DIV/0!</v>
      </c>
      <c r="CI14" s="1" t="e">
        <f t="shared" si="38"/>
        <v>#DIV/0!</v>
      </c>
      <c r="CJ14" s="1" t="e">
        <f t="shared" si="38"/>
        <v>#DIV/0!</v>
      </c>
      <c r="CK14" s="1" t="e">
        <f t="shared" si="38"/>
        <v>#DIV/0!</v>
      </c>
      <c r="CL14" s="1" t="e">
        <f t="shared" si="38"/>
        <v>#DIV/0!</v>
      </c>
      <c r="CM14" s="1" t="e">
        <f t="shared" si="38"/>
        <v>#DIV/0!</v>
      </c>
      <c r="CN14" s="1" t="e">
        <f t="shared" si="38"/>
        <v>#DIV/0!</v>
      </c>
      <c r="CO14" s="1" t="e">
        <f t="shared" si="38"/>
        <v>#DIV/0!</v>
      </c>
      <c r="CP14" s="1" t="e">
        <f t="shared" si="38"/>
        <v>#DIV/0!</v>
      </c>
      <c r="CQ14" s="1" t="e">
        <f t="shared" si="38"/>
        <v>#DIV/0!</v>
      </c>
      <c r="CR14" s="1" t="e">
        <f t="shared" si="38"/>
        <v>#DIV/0!</v>
      </c>
      <c r="CS14" s="1" t="e">
        <f t="shared" si="38"/>
        <v>#DIV/0!</v>
      </c>
      <c r="CT14" s="1" t="e">
        <f t="shared" si="38"/>
        <v>#DIV/0!</v>
      </c>
      <c r="CU14" s="1" t="e">
        <f t="shared" si="38"/>
        <v>#DIV/0!</v>
      </c>
      <c r="CV14" s="1" t="e">
        <f t="shared" si="38"/>
        <v>#DIV/0!</v>
      </c>
      <c r="CW14" s="1" t="e">
        <f t="shared" si="38"/>
        <v>#DIV/0!</v>
      </c>
      <c r="CX14" s="1" t="e">
        <f t="shared" si="38"/>
        <v>#DIV/0!</v>
      </c>
      <c r="CY14" s="1" t="e">
        <f t="shared" si="38"/>
        <v>#DIV/0!</v>
      </c>
      <c r="CZ14" s="1" t="e">
        <f t="shared" si="38"/>
        <v>#DIV/0!</v>
      </c>
      <c r="DA14" s="1" t="e">
        <f t="shared" si="38"/>
        <v>#DIV/0!</v>
      </c>
      <c r="DB14" s="1" t="e">
        <f t="shared" si="38"/>
        <v>#DIV/0!</v>
      </c>
      <c r="DC14" s="1" t="e">
        <f t="shared" si="38"/>
        <v>#DIV/0!</v>
      </c>
      <c r="DD14" s="1" t="e">
        <f t="shared" si="38"/>
        <v>#DIV/0!</v>
      </c>
      <c r="DE14" s="1" t="e">
        <f t="shared" si="38"/>
        <v>#DIV/0!</v>
      </c>
      <c r="DF14" s="1" t="e">
        <f t="shared" si="38"/>
        <v>#DIV/0!</v>
      </c>
      <c r="DG14" s="1" t="e">
        <f t="shared" si="38"/>
        <v>#DIV/0!</v>
      </c>
      <c r="DH14" s="1" t="e">
        <f t="shared" si="38"/>
        <v>#DIV/0!</v>
      </c>
      <c r="DI14" s="1" t="e">
        <f t="shared" si="38"/>
        <v>#DIV/0!</v>
      </c>
      <c r="DJ14" s="1" t="e">
        <f t="shared" si="38"/>
        <v>#DIV/0!</v>
      </c>
      <c r="DK14" s="1" t="e">
        <f t="shared" ref="DK14:DV14" si="39">(1+DK13)^(12/DK1)-1</f>
        <v>#DIV/0!</v>
      </c>
      <c r="DL14" s="1" t="e">
        <f t="shared" si="39"/>
        <v>#DIV/0!</v>
      </c>
      <c r="DM14" s="1" t="e">
        <f t="shared" si="39"/>
        <v>#DIV/0!</v>
      </c>
      <c r="DN14" s="1" t="e">
        <f t="shared" si="39"/>
        <v>#DIV/0!</v>
      </c>
      <c r="DO14" s="1" t="e">
        <f t="shared" si="39"/>
        <v>#DIV/0!</v>
      </c>
      <c r="DP14" s="1" t="e">
        <f t="shared" si="39"/>
        <v>#DIV/0!</v>
      </c>
      <c r="DQ14" s="1" t="e">
        <f t="shared" si="39"/>
        <v>#DIV/0!</v>
      </c>
      <c r="DR14" s="1" t="e">
        <f t="shared" si="39"/>
        <v>#DIV/0!</v>
      </c>
      <c r="DS14" s="1" t="e">
        <f t="shared" si="39"/>
        <v>#DIV/0!</v>
      </c>
      <c r="DT14" s="1" t="e">
        <f t="shared" si="39"/>
        <v>#DIV/0!</v>
      </c>
      <c r="DU14" s="1" t="e">
        <f t="shared" si="39"/>
        <v>#DIV/0!</v>
      </c>
      <c r="DV14" s="1" t="e">
        <f t="shared" si="39"/>
        <v>#DIV/0!</v>
      </c>
    </row>
    <row r="15" spans="1:126" x14ac:dyDescent="0.45">
      <c r="A15" t="s">
        <v>67</v>
      </c>
      <c r="B15" s="1" t="e">
        <f ca="1">XIRR(F23:DV23,F2:DV2)</f>
        <v>#DIV/0!</v>
      </c>
      <c r="E15" t="s">
        <v>78</v>
      </c>
      <c r="F15" s="49">
        <f>SUM($F$8:F8)</f>
        <v>0</v>
      </c>
      <c r="G15" s="49" t="e">
        <f>SUM($F$8:G8)</f>
        <v>#DIV/0!</v>
      </c>
      <c r="H15" s="49" t="e">
        <f>SUM($F$8:H8)</f>
        <v>#DIV/0!</v>
      </c>
      <c r="I15" s="49" t="e">
        <f>SUM($F$8:I8)</f>
        <v>#DIV/0!</v>
      </c>
      <c r="J15" s="49" t="e">
        <f>SUM($F$8:J8)</f>
        <v>#DIV/0!</v>
      </c>
      <c r="K15" s="49" t="e">
        <f>SUM($F$8:K8)</f>
        <v>#DIV/0!</v>
      </c>
      <c r="L15" s="49" t="e">
        <f>SUM($F$8:L8)</f>
        <v>#DIV/0!</v>
      </c>
      <c r="M15" s="49" t="e">
        <f>SUM($F$8:M8)</f>
        <v>#DIV/0!</v>
      </c>
      <c r="N15" s="49" t="e">
        <f>SUM($F$8:N8)</f>
        <v>#DIV/0!</v>
      </c>
      <c r="O15" s="49" t="e">
        <f>SUM($F$8:O8)</f>
        <v>#DIV/0!</v>
      </c>
      <c r="P15" s="49" t="e">
        <f>SUM($F$8:P8)</f>
        <v>#DIV/0!</v>
      </c>
      <c r="Q15" s="49" t="e">
        <f>SUM($F$8:Q8)</f>
        <v>#DIV/0!</v>
      </c>
      <c r="R15" s="49" t="e">
        <f>SUM($F$8:R8)</f>
        <v>#DIV/0!</v>
      </c>
      <c r="S15" s="51" t="e">
        <f>SUM($F$8:S8)</f>
        <v>#DIV/0!</v>
      </c>
      <c r="T15" s="49" t="e">
        <f>SUM($F$8:T8)</f>
        <v>#DIV/0!</v>
      </c>
      <c r="U15" s="49" t="e">
        <f>SUM($F$8:U8)</f>
        <v>#DIV/0!</v>
      </c>
      <c r="V15" s="49" t="e">
        <f>SUM($F$8:V8)</f>
        <v>#DIV/0!</v>
      </c>
      <c r="W15" s="49" t="e">
        <f>SUM($F$8:W8)</f>
        <v>#DIV/0!</v>
      </c>
      <c r="X15" s="49" t="e">
        <f>SUM($F$8:X8)</f>
        <v>#DIV/0!</v>
      </c>
      <c r="Y15" s="49" t="e">
        <f>SUM($F$8:Y8)</f>
        <v>#DIV/0!</v>
      </c>
      <c r="Z15" s="49" t="e">
        <f>SUM($F$8:Z8)</f>
        <v>#DIV/0!</v>
      </c>
      <c r="AA15" s="49" t="e">
        <f>SUM($F$8:AA8)</f>
        <v>#DIV/0!</v>
      </c>
      <c r="AB15" s="49" t="e">
        <f>SUM($F$8:AB8)</f>
        <v>#DIV/0!</v>
      </c>
      <c r="AC15" s="49" t="e">
        <f>SUM($F$8:AC8)</f>
        <v>#DIV/0!</v>
      </c>
      <c r="AD15" s="49" t="e">
        <f>SUM($F$8:AD8)</f>
        <v>#DIV/0!</v>
      </c>
      <c r="AE15" s="49" t="e">
        <f>SUM($F$8:AE8)</f>
        <v>#DIV/0!</v>
      </c>
      <c r="AF15" s="49" t="e">
        <f>SUM($F$8:AF8)</f>
        <v>#DIV/0!</v>
      </c>
      <c r="AG15" s="49" t="e">
        <f>SUM($F$8:AG8)</f>
        <v>#DIV/0!</v>
      </c>
      <c r="AH15" s="49" t="e">
        <f>SUM($F$8:AH8)</f>
        <v>#DIV/0!</v>
      </c>
      <c r="AI15" s="49" t="e">
        <f>SUM($F$8:AI8)</f>
        <v>#DIV/0!</v>
      </c>
      <c r="AJ15" s="49" t="e">
        <f>SUM($F$8:AJ8)</f>
        <v>#DIV/0!</v>
      </c>
      <c r="AK15" s="49" t="e">
        <f>SUM($F$8:AK8)</f>
        <v>#DIV/0!</v>
      </c>
      <c r="AL15" s="49" t="e">
        <f>SUM($F$8:AL8)</f>
        <v>#DIV/0!</v>
      </c>
      <c r="AM15" s="49" t="e">
        <f>SUM($F$8:AM8)</f>
        <v>#DIV/0!</v>
      </c>
      <c r="AN15" s="49" t="e">
        <f>SUM($F$8:AN8)</f>
        <v>#DIV/0!</v>
      </c>
      <c r="AO15" s="49" t="e">
        <f>SUM($F$8:AO8)</f>
        <v>#DIV/0!</v>
      </c>
      <c r="AP15" s="49" t="e">
        <f>SUM($F$8:AP8)</f>
        <v>#DIV/0!</v>
      </c>
      <c r="AQ15" s="49" t="e">
        <f>SUM($F$8:AQ8)</f>
        <v>#DIV/0!</v>
      </c>
      <c r="AR15" s="49" t="e">
        <f>SUM($F$8:AR8)</f>
        <v>#DIV/0!</v>
      </c>
      <c r="AS15" s="49" t="e">
        <f>SUM($F$8:AS8)</f>
        <v>#DIV/0!</v>
      </c>
      <c r="AT15" s="49" t="e">
        <f>SUM($F$8:AT8)</f>
        <v>#DIV/0!</v>
      </c>
      <c r="AU15" s="49" t="e">
        <f>SUM($F$8:AU8)</f>
        <v>#DIV/0!</v>
      </c>
      <c r="AV15" s="49" t="e">
        <f>SUM($F$8:AV8)</f>
        <v>#DIV/0!</v>
      </c>
      <c r="AW15" s="49" t="e">
        <f>SUM($F$8:AW8)</f>
        <v>#DIV/0!</v>
      </c>
      <c r="AX15" s="49" t="e">
        <f>SUM($F$8:AX8)</f>
        <v>#DIV/0!</v>
      </c>
      <c r="AY15" s="49" t="e">
        <f>SUM($F$8:AY8)</f>
        <v>#DIV/0!</v>
      </c>
      <c r="AZ15" s="49" t="e">
        <f>SUM($F$8:AZ8)</f>
        <v>#DIV/0!</v>
      </c>
      <c r="BA15" s="49" t="e">
        <f>SUM($F$8:BA8)</f>
        <v>#DIV/0!</v>
      </c>
      <c r="BB15" s="49" t="e">
        <f>SUM($F$8:BB8)</f>
        <v>#DIV/0!</v>
      </c>
      <c r="BC15" s="49" t="e">
        <f>SUM($F$8:BC8)</f>
        <v>#DIV/0!</v>
      </c>
      <c r="BD15" s="49" t="e">
        <f>SUM($F$8:BD8)</f>
        <v>#DIV/0!</v>
      </c>
      <c r="BE15" s="49" t="e">
        <f>SUM($F$8:BE8)</f>
        <v>#DIV/0!</v>
      </c>
      <c r="BF15" s="49" t="e">
        <f>SUM($F$8:BF8)</f>
        <v>#DIV/0!</v>
      </c>
      <c r="BG15" s="49" t="e">
        <f>SUM($F$8:BG8)</f>
        <v>#DIV/0!</v>
      </c>
      <c r="BH15" s="49" t="e">
        <f>SUM($F$8:BH8)</f>
        <v>#DIV/0!</v>
      </c>
      <c r="BI15" s="49" t="e">
        <f>SUM($F$8:BI8)</f>
        <v>#DIV/0!</v>
      </c>
      <c r="BJ15" s="49" t="e">
        <f>SUM($F$8:BJ8)</f>
        <v>#DIV/0!</v>
      </c>
      <c r="BK15" s="49" t="e">
        <f>SUM($F$8:BK8)</f>
        <v>#DIV/0!</v>
      </c>
      <c r="BL15" s="49" t="e">
        <f>SUM($F$8:BL8)</f>
        <v>#DIV/0!</v>
      </c>
      <c r="BM15" s="49" t="e">
        <f>SUM($F$8:BM8)</f>
        <v>#DIV/0!</v>
      </c>
      <c r="BN15" s="49" t="e">
        <f>SUM($F$8:BN8)</f>
        <v>#DIV/0!</v>
      </c>
      <c r="BO15" s="49" t="e">
        <f>SUM($F$8:BO8)</f>
        <v>#DIV/0!</v>
      </c>
      <c r="BP15" s="49" t="e">
        <f>SUM($F$8:BP8)</f>
        <v>#DIV/0!</v>
      </c>
      <c r="BQ15" s="49" t="e">
        <f>SUM($F$8:BQ8)</f>
        <v>#DIV/0!</v>
      </c>
      <c r="BR15" s="49" t="e">
        <f>SUM($F$8:BR8)</f>
        <v>#DIV/0!</v>
      </c>
      <c r="BS15" s="49" t="e">
        <f>SUM($F$8:BS8)</f>
        <v>#DIV/0!</v>
      </c>
      <c r="BT15" s="49" t="e">
        <f>SUM($F$8:BT8)</f>
        <v>#DIV/0!</v>
      </c>
      <c r="BU15" s="49" t="e">
        <f>SUM($F$8:BU8)</f>
        <v>#DIV/0!</v>
      </c>
      <c r="BV15" s="49" t="e">
        <f>SUM($F$8:BV8)</f>
        <v>#DIV/0!</v>
      </c>
      <c r="BW15" s="49" t="e">
        <f>SUM($F$8:BW8)</f>
        <v>#DIV/0!</v>
      </c>
      <c r="BX15" s="49" t="e">
        <f>SUM($F$8:BX8)</f>
        <v>#DIV/0!</v>
      </c>
      <c r="BY15" s="49" t="e">
        <f>SUM($F$8:BY8)</f>
        <v>#DIV/0!</v>
      </c>
      <c r="BZ15" s="49" t="e">
        <f>SUM($F$8:BZ8)</f>
        <v>#DIV/0!</v>
      </c>
      <c r="CA15" s="49" t="e">
        <f>SUM($F$8:CA8)</f>
        <v>#DIV/0!</v>
      </c>
      <c r="CB15" s="49" t="e">
        <f>SUM($F$8:CB8)</f>
        <v>#DIV/0!</v>
      </c>
      <c r="CC15" s="49" t="e">
        <f>SUM($F$8:CC8)</f>
        <v>#DIV/0!</v>
      </c>
      <c r="CD15" s="49" t="e">
        <f>SUM($F$8:CD8)</f>
        <v>#DIV/0!</v>
      </c>
      <c r="CE15" s="49" t="e">
        <f>SUM($F$8:CE8)</f>
        <v>#DIV/0!</v>
      </c>
      <c r="CF15" s="49" t="e">
        <f>SUM($F$8:CF8)</f>
        <v>#DIV/0!</v>
      </c>
      <c r="CG15" s="49" t="e">
        <f>SUM($F$8:CG8)</f>
        <v>#DIV/0!</v>
      </c>
      <c r="CH15" s="49" t="e">
        <f>SUM($F$8:CH8)</f>
        <v>#DIV/0!</v>
      </c>
      <c r="CI15" s="49" t="e">
        <f>SUM($F$8:CI8)</f>
        <v>#DIV/0!</v>
      </c>
      <c r="CJ15" s="49" t="e">
        <f>SUM($F$8:CJ8)</f>
        <v>#DIV/0!</v>
      </c>
      <c r="CK15" s="49" t="e">
        <f>SUM($F$8:CK8)</f>
        <v>#DIV/0!</v>
      </c>
      <c r="CL15" s="49" t="e">
        <f>SUM($F$8:CL8)</f>
        <v>#DIV/0!</v>
      </c>
      <c r="CM15" s="49" t="e">
        <f>SUM($F$8:CM8)</f>
        <v>#DIV/0!</v>
      </c>
      <c r="CN15" s="49" t="e">
        <f>SUM($F$8:CN8)</f>
        <v>#DIV/0!</v>
      </c>
      <c r="CO15" s="49" t="e">
        <f>SUM($F$8:CO8)</f>
        <v>#DIV/0!</v>
      </c>
      <c r="CP15" s="49" t="e">
        <f>SUM($F$8:CP8)</f>
        <v>#DIV/0!</v>
      </c>
      <c r="CQ15" s="49" t="e">
        <f>SUM($F$8:CQ8)</f>
        <v>#DIV/0!</v>
      </c>
      <c r="CR15" s="49" t="e">
        <f>SUM($F$8:CR8)</f>
        <v>#DIV/0!</v>
      </c>
      <c r="CS15" s="49" t="e">
        <f>SUM($F$8:CS8)</f>
        <v>#DIV/0!</v>
      </c>
      <c r="CT15" s="49" t="e">
        <f>SUM($F$8:CT8)</f>
        <v>#DIV/0!</v>
      </c>
      <c r="CU15" s="49" t="e">
        <f>SUM($F$8:CU8)</f>
        <v>#DIV/0!</v>
      </c>
      <c r="CV15" s="49" t="e">
        <f>SUM($F$8:CV8)</f>
        <v>#DIV/0!</v>
      </c>
      <c r="CW15" s="49" t="e">
        <f>SUM($F$8:CW8)</f>
        <v>#DIV/0!</v>
      </c>
      <c r="CX15" s="49" t="e">
        <f>SUM($F$8:CX8)</f>
        <v>#DIV/0!</v>
      </c>
      <c r="CY15" s="49" t="e">
        <f>SUM($F$8:CY8)</f>
        <v>#DIV/0!</v>
      </c>
      <c r="CZ15" s="49" t="e">
        <f>SUM($F$8:CZ8)</f>
        <v>#DIV/0!</v>
      </c>
      <c r="DA15" s="49" t="e">
        <f>SUM($F$8:DA8)</f>
        <v>#DIV/0!</v>
      </c>
      <c r="DB15" s="49" t="e">
        <f>SUM($F$8:DB8)</f>
        <v>#DIV/0!</v>
      </c>
      <c r="DC15" s="49" t="e">
        <f>SUM($F$8:DC8)</f>
        <v>#DIV/0!</v>
      </c>
      <c r="DD15" s="49" t="e">
        <f>SUM($F$8:DD8)</f>
        <v>#DIV/0!</v>
      </c>
      <c r="DE15" s="49" t="e">
        <f>SUM($F$8:DE8)</f>
        <v>#DIV/0!</v>
      </c>
      <c r="DF15" s="49" t="e">
        <f>SUM($F$8:DF8)</f>
        <v>#DIV/0!</v>
      </c>
      <c r="DG15" s="49" t="e">
        <f>SUM($F$8:DG8)</f>
        <v>#DIV/0!</v>
      </c>
      <c r="DH15" s="49" t="e">
        <f>SUM($F$8:DH8)</f>
        <v>#DIV/0!</v>
      </c>
      <c r="DI15" s="49" t="e">
        <f>SUM($F$8:DI8)</f>
        <v>#DIV/0!</v>
      </c>
      <c r="DJ15" s="49" t="e">
        <f>SUM($F$8:DJ8)</f>
        <v>#DIV/0!</v>
      </c>
      <c r="DK15" s="49" t="e">
        <f>SUM($F$8:DK8)</f>
        <v>#DIV/0!</v>
      </c>
      <c r="DL15" s="49" t="e">
        <f>SUM($F$8:DL8)</f>
        <v>#DIV/0!</v>
      </c>
      <c r="DM15" s="49" t="e">
        <f>SUM($F$8:DM8)</f>
        <v>#DIV/0!</v>
      </c>
      <c r="DN15" s="49" t="e">
        <f>SUM($F$8:DN8)</f>
        <v>#DIV/0!</v>
      </c>
      <c r="DO15" s="49" t="e">
        <f>SUM($F$8:DO8)</f>
        <v>#DIV/0!</v>
      </c>
      <c r="DP15" s="49" t="e">
        <f>SUM($F$8:DP8)</f>
        <v>#DIV/0!</v>
      </c>
      <c r="DQ15" s="49" t="e">
        <f>SUM($F$8:DQ8)</f>
        <v>#DIV/0!</v>
      </c>
      <c r="DR15" s="49" t="e">
        <f>SUM($F$8:DR8)</f>
        <v>#DIV/0!</v>
      </c>
      <c r="DS15" s="49" t="e">
        <f>SUM($F$8:DS8)</f>
        <v>#DIV/0!</v>
      </c>
      <c r="DT15" s="49" t="e">
        <f>SUM($F$8:DT8)</f>
        <v>#DIV/0!</v>
      </c>
      <c r="DU15" s="49" t="e">
        <f>SUM($F$8:DU8)</f>
        <v>#DIV/0!</v>
      </c>
      <c r="DV15" s="49" t="e">
        <f>SUM($F$8:DV8)</f>
        <v>#DIV/0!</v>
      </c>
    </row>
    <row r="16" spans="1:126" x14ac:dyDescent="0.45">
      <c r="E16" t="s">
        <v>79</v>
      </c>
      <c r="F16" s="3">
        <f t="shared" ref="F16:AK16" si="40">F11+F15</f>
        <v>-956250</v>
      </c>
      <c r="G16" s="3" t="e">
        <f t="shared" si="40"/>
        <v>#DIV/0!</v>
      </c>
      <c r="H16" s="3" t="e">
        <f t="shared" si="40"/>
        <v>#DIV/0!</v>
      </c>
      <c r="I16" s="3" t="e">
        <f t="shared" si="40"/>
        <v>#DIV/0!</v>
      </c>
      <c r="J16" s="3" t="e">
        <f t="shared" si="40"/>
        <v>#DIV/0!</v>
      </c>
      <c r="K16" s="3" t="e">
        <f t="shared" si="40"/>
        <v>#DIV/0!</v>
      </c>
      <c r="L16" s="3" t="e">
        <f t="shared" si="40"/>
        <v>#DIV/0!</v>
      </c>
      <c r="M16" s="3" t="e">
        <f t="shared" si="40"/>
        <v>#DIV/0!</v>
      </c>
      <c r="N16" s="3" t="e">
        <f t="shared" si="40"/>
        <v>#DIV/0!</v>
      </c>
      <c r="O16" s="3" t="e">
        <f t="shared" si="40"/>
        <v>#DIV/0!</v>
      </c>
      <c r="P16" s="3" t="e">
        <f t="shared" si="40"/>
        <v>#DIV/0!</v>
      </c>
      <c r="Q16" s="3" t="e">
        <f t="shared" si="40"/>
        <v>#DIV/0!</v>
      </c>
      <c r="R16" s="3" t="e">
        <f t="shared" si="40"/>
        <v>#DIV/0!</v>
      </c>
      <c r="S16" s="46" t="e">
        <f t="shared" si="40"/>
        <v>#DIV/0!</v>
      </c>
      <c r="T16" s="3" t="e">
        <f t="shared" si="40"/>
        <v>#DIV/0!</v>
      </c>
      <c r="U16" s="3" t="e">
        <f t="shared" si="40"/>
        <v>#DIV/0!</v>
      </c>
      <c r="V16" s="3" t="e">
        <f t="shared" si="40"/>
        <v>#DIV/0!</v>
      </c>
      <c r="W16" s="3" t="e">
        <f t="shared" si="40"/>
        <v>#DIV/0!</v>
      </c>
      <c r="X16" s="3" t="e">
        <f t="shared" si="40"/>
        <v>#DIV/0!</v>
      </c>
      <c r="Y16" s="3" t="e">
        <f t="shared" si="40"/>
        <v>#DIV/0!</v>
      </c>
      <c r="Z16" s="3" t="e">
        <f t="shared" si="40"/>
        <v>#DIV/0!</v>
      </c>
      <c r="AA16" s="3" t="e">
        <f t="shared" si="40"/>
        <v>#DIV/0!</v>
      </c>
      <c r="AB16" s="3" t="e">
        <f t="shared" si="40"/>
        <v>#DIV/0!</v>
      </c>
      <c r="AC16" s="3" t="e">
        <f t="shared" si="40"/>
        <v>#DIV/0!</v>
      </c>
      <c r="AD16" s="3" t="e">
        <f t="shared" si="40"/>
        <v>#DIV/0!</v>
      </c>
      <c r="AE16" s="3" t="e">
        <f t="shared" si="40"/>
        <v>#DIV/0!</v>
      </c>
      <c r="AF16" s="3" t="e">
        <f t="shared" si="40"/>
        <v>#DIV/0!</v>
      </c>
      <c r="AG16" s="3" t="e">
        <f t="shared" si="40"/>
        <v>#DIV/0!</v>
      </c>
      <c r="AH16" s="3" t="e">
        <f t="shared" si="40"/>
        <v>#DIV/0!</v>
      </c>
      <c r="AI16" s="3" t="e">
        <f t="shared" si="40"/>
        <v>#DIV/0!</v>
      </c>
      <c r="AJ16" s="3" t="e">
        <f t="shared" si="40"/>
        <v>#DIV/0!</v>
      </c>
      <c r="AK16" s="3" t="e">
        <f t="shared" si="40"/>
        <v>#DIV/0!</v>
      </c>
      <c r="AL16" s="3" t="e">
        <f t="shared" ref="AL16:BQ16" si="41">AL11+AL15</f>
        <v>#DIV/0!</v>
      </c>
      <c r="AM16" s="3" t="e">
        <f t="shared" si="41"/>
        <v>#DIV/0!</v>
      </c>
      <c r="AN16" s="3" t="e">
        <f t="shared" si="41"/>
        <v>#DIV/0!</v>
      </c>
      <c r="AO16" s="3" t="e">
        <f t="shared" si="41"/>
        <v>#DIV/0!</v>
      </c>
      <c r="AP16" s="3" t="e">
        <f t="shared" si="41"/>
        <v>#DIV/0!</v>
      </c>
      <c r="AQ16" s="3" t="e">
        <f t="shared" si="41"/>
        <v>#DIV/0!</v>
      </c>
      <c r="AR16" s="3" t="e">
        <f t="shared" si="41"/>
        <v>#DIV/0!</v>
      </c>
      <c r="AS16" s="3" t="e">
        <f t="shared" si="41"/>
        <v>#DIV/0!</v>
      </c>
      <c r="AT16" s="3" t="e">
        <f t="shared" si="41"/>
        <v>#DIV/0!</v>
      </c>
      <c r="AU16" s="3" t="e">
        <f t="shared" si="41"/>
        <v>#DIV/0!</v>
      </c>
      <c r="AV16" s="3" t="e">
        <f t="shared" si="41"/>
        <v>#DIV/0!</v>
      </c>
      <c r="AW16" s="3" t="e">
        <f t="shared" si="41"/>
        <v>#DIV/0!</v>
      </c>
      <c r="AX16" s="3" t="e">
        <f t="shared" si="41"/>
        <v>#DIV/0!</v>
      </c>
      <c r="AY16" s="3" t="e">
        <f t="shared" si="41"/>
        <v>#DIV/0!</v>
      </c>
      <c r="AZ16" s="3" t="e">
        <f t="shared" si="41"/>
        <v>#DIV/0!</v>
      </c>
      <c r="BA16" s="3" t="e">
        <f t="shared" si="41"/>
        <v>#DIV/0!</v>
      </c>
      <c r="BB16" s="3" t="e">
        <f t="shared" si="41"/>
        <v>#DIV/0!</v>
      </c>
      <c r="BC16" s="3" t="e">
        <f t="shared" si="41"/>
        <v>#DIV/0!</v>
      </c>
      <c r="BD16" s="3" t="e">
        <f t="shared" si="41"/>
        <v>#DIV/0!</v>
      </c>
      <c r="BE16" s="3" t="e">
        <f t="shared" si="41"/>
        <v>#DIV/0!</v>
      </c>
      <c r="BF16" s="3" t="e">
        <f t="shared" si="41"/>
        <v>#DIV/0!</v>
      </c>
      <c r="BG16" s="3" t="e">
        <f t="shared" si="41"/>
        <v>#DIV/0!</v>
      </c>
      <c r="BH16" s="3" t="e">
        <f t="shared" si="41"/>
        <v>#DIV/0!</v>
      </c>
      <c r="BI16" s="3" t="e">
        <f t="shared" si="41"/>
        <v>#DIV/0!</v>
      </c>
      <c r="BJ16" s="3" t="e">
        <f t="shared" si="41"/>
        <v>#DIV/0!</v>
      </c>
      <c r="BK16" s="3" t="e">
        <f t="shared" si="41"/>
        <v>#DIV/0!</v>
      </c>
      <c r="BL16" s="3" t="e">
        <f t="shared" si="41"/>
        <v>#DIV/0!</v>
      </c>
      <c r="BM16" s="3" t="e">
        <f t="shared" si="41"/>
        <v>#DIV/0!</v>
      </c>
      <c r="BN16" s="3" t="e">
        <f t="shared" si="41"/>
        <v>#DIV/0!</v>
      </c>
      <c r="BO16" s="3" t="e">
        <f t="shared" si="41"/>
        <v>#DIV/0!</v>
      </c>
      <c r="BP16" s="3" t="e">
        <f t="shared" si="41"/>
        <v>#DIV/0!</v>
      </c>
      <c r="BQ16" s="3" t="e">
        <f t="shared" si="41"/>
        <v>#DIV/0!</v>
      </c>
      <c r="BR16" s="3" t="e">
        <f t="shared" ref="BR16:CW16" si="42">BR11+BR15</f>
        <v>#DIV/0!</v>
      </c>
      <c r="BS16" s="3" t="e">
        <f t="shared" si="42"/>
        <v>#DIV/0!</v>
      </c>
      <c r="BT16" s="3" t="e">
        <f t="shared" si="42"/>
        <v>#DIV/0!</v>
      </c>
      <c r="BU16" s="3" t="e">
        <f t="shared" si="42"/>
        <v>#DIV/0!</v>
      </c>
      <c r="BV16" s="3" t="e">
        <f t="shared" si="42"/>
        <v>#DIV/0!</v>
      </c>
      <c r="BW16" s="3" t="e">
        <f t="shared" si="42"/>
        <v>#DIV/0!</v>
      </c>
      <c r="BX16" s="3" t="e">
        <f t="shared" si="42"/>
        <v>#DIV/0!</v>
      </c>
      <c r="BY16" s="3" t="e">
        <f t="shared" si="42"/>
        <v>#DIV/0!</v>
      </c>
      <c r="BZ16" s="3" t="e">
        <f t="shared" si="42"/>
        <v>#DIV/0!</v>
      </c>
      <c r="CA16" s="3" t="e">
        <f t="shared" si="42"/>
        <v>#DIV/0!</v>
      </c>
      <c r="CB16" s="3" t="e">
        <f t="shared" si="42"/>
        <v>#DIV/0!</v>
      </c>
      <c r="CC16" s="3" t="e">
        <f t="shared" si="42"/>
        <v>#DIV/0!</v>
      </c>
      <c r="CD16" s="3" t="e">
        <f t="shared" si="42"/>
        <v>#DIV/0!</v>
      </c>
      <c r="CE16" s="3" t="e">
        <f t="shared" si="42"/>
        <v>#DIV/0!</v>
      </c>
      <c r="CF16" s="3" t="e">
        <f t="shared" si="42"/>
        <v>#DIV/0!</v>
      </c>
      <c r="CG16" s="3" t="e">
        <f t="shared" si="42"/>
        <v>#DIV/0!</v>
      </c>
      <c r="CH16" s="3" t="e">
        <f t="shared" si="42"/>
        <v>#DIV/0!</v>
      </c>
      <c r="CI16" s="3" t="e">
        <f t="shared" si="42"/>
        <v>#DIV/0!</v>
      </c>
      <c r="CJ16" s="3" t="e">
        <f t="shared" si="42"/>
        <v>#DIV/0!</v>
      </c>
      <c r="CK16" s="3" t="e">
        <f t="shared" si="42"/>
        <v>#DIV/0!</v>
      </c>
      <c r="CL16" s="3" t="e">
        <f t="shared" si="42"/>
        <v>#DIV/0!</v>
      </c>
      <c r="CM16" s="3" t="e">
        <f t="shared" si="42"/>
        <v>#DIV/0!</v>
      </c>
      <c r="CN16" s="3" t="e">
        <f t="shared" si="42"/>
        <v>#DIV/0!</v>
      </c>
      <c r="CO16" s="3" t="e">
        <f t="shared" si="42"/>
        <v>#DIV/0!</v>
      </c>
      <c r="CP16" s="3" t="e">
        <f t="shared" si="42"/>
        <v>#DIV/0!</v>
      </c>
      <c r="CQ16" s="3" t="e">
        <f t="shared" si="42"/>
        <v>#DIV/0!</v>
      </c>
      <c r="CR16" s="3" t="e">
        <f t="shared" si="42"/>
        <v>#DIV/0!</v>
      </c>
      <c r="CS16" s="3" t="e">
        <f t="shared" si="42"/>
        <v>#DIV/0!</v>
      </c>
      <c r="CT16" s="3" t="e">
        <f t="shared" si="42"/>
        <v>#DIV/0!</v>
      </c>
      <c r="CU16" s="3" t="e">
        <f t="shared" si="42"/>
        <v>#DIV/0!</v>
      </c>
      <c r="CV16" s="3" t="e">
        <f t="shared" si="42"/>
        <v>#DIV/0!</v>
      </c>
      <c r="CW16" s="3" t="e">
        <f t="shared" si="42"/>
        <v>#DIV/0!</v>
      </c>
      <c r="CX16" s="3" t="e">
        <f t="shared" ref="CX16:DV16" si="43">CX11+CX15</f>
        <v>#DIV/0!</v>
      </c>
      <c r="CY16" s="3" t="e">
        <f t="shared" si="43"/>
        <v>#DIV/0!</v>
      </c>
      <c r="CZ16" s="3" t="e">
        <f t="shared" si="43"/>
        <v>#DIV/0!</v>
      </c>
      <c r="DA16" s="3" t="e">
        <f t="shared" si="43"/>
        <v>#DIV/0!</v>
      </c>
      <c r="DB16" s="3" t="e">
        <f t="shared" si="43"/>
        <v>#DIV/0!</v>
      </c>
      <c r="DC16" s="3" t="e">
        <f t="shared" si="43"/>
        <v>#DIV/0!</v>
      </c>
      <c r="DD16" s="3" t="e">
        <f t="shared" si="43"/>
        <v>#DIV/0!</v>
      </c>
      <c r="DE16" s="3" t="e">
        <f t="shared" si="43"/>
        <v>#DIV/0!</v>
      </c>
      <c r="DF16" s="3" t="e">
        <f t="shared" si="43"/>
        <v>#DIV/0!</v>
      </c>
      <c r="DG16" s="3" t="e">
        <f t="shared" si="43"/>
        <v>#DIV/0!</v>
      </c>
      <c r="DH16" s="3" t="e">
        <f t="shared" si="43"/>
        <v>#DIV/0!</v>
      </c>
      <c r="DI16" s="3" t="e">
        <f t="shared" si="43"/>
        <v>#DIV/0!</v>
      </c>
      <c r="DJ16" s="3" t="e">
        <f t="shared" si="43"/>
        <v>#DIV/0!</v>
      </c>
      <c r="DK16" s="3" t="e">
        <f t="shared" si="43"/>
        <v>#DIV/0!</v>
      </c>
      <c r="DL16" s="3" t="e">
        <f t="shared" si="43"/>
        <v>#DIV/0!</v>
      </c>
      <c r="DM16" s="3" t="e">
        <f t="shared" si="43"/>
        <v>#DIV/0!</v>
      </c>
      <c r="DN16" s="3" t="e">
        <f t="shared" si="43"/>
        <v>#DIV/0!</v>
      </c>
      <c r="DO16" s="3" t="e">
        <f t="shared" si="43"/>
        <v>#DIV/0!</v>
      </c>
      <c r="DP16" s="3" t="e">
        <f t="shared" si="43"/>
        <v>#DIV/0!</v>
      </c>
      <c r="DQ16" s="3" t="e">
        <f t="shared" si="43"/>
        <v>#DIV/0!</v>
      </c>
      <c r="DR16" s="3" t="e">
        <f t="shared" si="43"/>
        <v>#DIV/0!</v>
      </c>
      <c r="DS16" s="3" t="e">
        <f t="shared" si="43"/>
        <v>#DIV/0!</v>
      </c>
      <c r="DT16" s="3" t="e">
        <f t="shared" si="43"/>
        <v>#DIV/0!</v>
      </c>
      <c r="DU16" s="3" t="e">
        <f t="shared" si="43"/>
        <v>#DIV/0!</v>
      </c>
      <c r="DV16" s="3" t="e">
        <f t="shared" si="43"/>
        <v>#DIV/0!</v>
      </c>
    </row>
    <row r="17" spans="1:126" x14ac:dyDescent="0.45">
      <c r="A17" t="s">
        <v>76</v>
      </c>
      <c r="B17" s="43" t="e">
        <f>R13</f>
        <v>#DIV/0!</v>
      </c>
    </row>
    <row r="19" spans="1:126" x14ac:dyDescent="0.45">
      <c r="D19">
        <v>12</v>
      </c>
      <c r="E19" t="s">
        <v>68</v>
      </c>
      <c r="F19" s="3">
        <f>-$F$6</f>
        <v>956250</v>
      </c>
      <c r="G19" s="3" t="e">
        <f t="shared" ref="G19:P23" si="44">IF(G$1&lt;=$D19,IF(G$1=$D19,G$8+G$11,G$8),"")</f>
        <v>#DIV/0!</v>
      </c>
      <c r="H19" s="3" t="e">
        <f t="shared" si="44"/>
        <v>#DIV/0!</v>
      </c>
      <c r="I19" s="3" t="e">
        <f t="shared" si="44"/>
        <v>#DIV/0!</v>
      </c>
      <c r="J19" s="3" t="e">
        <f t="shared" si="44"/>
        <v>#DIV/0!</v>
      </c>
      <c r="K19" s="3" t="e">
        <f t="shared" si="44"/>
        <v>#DIV/0!</v>
      </c>
      <c r="L19" s="3" t="e">
        <f t="shared" si="44"/>
        <v>#DIV/0!</v>
      </c>
      <c r="M19" s="3" t="e">
        <f t="shared" si="44"/>
        <v>#DIV/0!</v>
      </c>
      <c r="N19" s="3" t="e">
        <f t="shared" si="44"/>
        <v>#DIV/0!</v>
      </c>
      <c r="O19" s="3" t="e">
        <f t="shared" si="44"/>
        <v>#DIV/0!</v>
      </c>
      <c r="P19" s="3" t="e">
        <f t="shared" si="44"/>
        <v>#DIV/0!</v>
      </c>
      <c r="Q19" s="3" t="e">
        <f t="shared" ref="Q19:Z23" si="45">IF(Q$1&lt;=$D19,IF(Q$1=$D19,Q$8+Q$11,Q$8),"")</f>
        <v>#DIV/0!</v>
      </c>
      <c r="R19" s="3" t="e">
        <f t="shared" si="45"/>
        <v>#DIV/0!</v>
      </c>
      <c r="S19" s="46" t="str">
        <f t="shared" si="45"/>
        <v/>
      </c>
      <c r="T19" s="3" t="str">
        <f t="shared" si="45"/>
        <v/>
      </c>
      <c r="U19" s="3" t="str">
        <f t="shared" si="45"/>
        <v/>
      </c>
      <c r="V19" s="3" t="str">
        <f t="shared" si="45"/>
        <v/>
      </c>
      <c r="W19" s="3" t="str">
        <f t="shared" si="45"/>
        <v/>
      </c>
      <c r="X19" s="3" t="str">
        <f t="shared" si="45"/>
        <v/>
      </c>
      <c r="Y19" s="3" t="str">
        <f t="shared" si="45"/>
        <v/>
      </c>
      <c r="Z19" s="3" t="str">
        <f t="shared" si="45"/>
        <v/>
      </c>
      <c r="AA19" s="3" t="str">
        <f t="shared" ref="AA19:AJ23" si="46">IF(AA$1&lt;=$D19,IF(AA$1=$D19,AA$8+AA$11,AA$8),"")</f>
        <v/>
      </c>
      <c r="AB19" s="3" t="str">
        <f t="shared" si="46"/>
        <v/>
      </c>
      <c r="AC19" s="3" t="str">
        <f t="shared" si="46"/>
        <v/>
      </c>
      <c r="AD19" s="3" t="str">
        <f t="shared" si="46"/>
        <v/>
      </c>
      <c r="AE19" s="3" t="str">
        <f t="shared" si="46"/>
        <v/>
      </c>
      <c r="AF19" s="3" t="str">
        <f t="shared" si="46"/>
        <v/>
      </c>
      <c r="AG19" s="3" t="str">
        <f t="shared" si="46"/>
        <v/>
      </c>
      <c r="AH19" s="3" t="str">
        <f t="shared" si="46"/>
        <v/>
      </c>
      <c r="AI19" s="3" t="str">
        <f t="shared" si="46"/>
        <v/>
      </c>
      <c r="AJ19" s="3" t="str">
        <f t="shared" si="46"/>
        <v/>
      </c>
      <c r="AK19" s="3" t="str">
        <f t="shared" ref="AK19:AT23" si="47">IF(AK$1&lt;=$D19,IF(AK$1=$D19,AK$8+AK$11,AK$8),"")</f>
        <v/>
      </c>
      <c r="AL19" s="3" t="str">
        <f t="shared" si="47"/>
        <v/>
      </c>
      <c r="AM19" s="3" t="str">
        <f t="shared" si="47"/>
        <v/>
      </c>
      <c r="AN19" s="3" t="str">
        <f t="shared" si="47"/>
        <v/>
      </c>
      <c r="AO19" s="3" t="str">
        <f t="shared" si="47"/>
        <v/>
      </c>
      <c r="AP19" s="3" t="str">
        <f t="shared" si="47"/>
        <v/>
      </c>
      <c r="AQ19" s="3" t="str">
        <f t="shared" si="47"/>
        <v/>
      </c>
      <c r="AR19" s="3" t="str">
        <f t="shared" si="47"/>
        <v/>
      </c>
      <c r="AS19" s="3" t="str">
        <f t="shared" si="47"/>
        <v/>
      </c>
      <c r="AT19" s="3" t="str">
        <f t="shared" si="47"/>
        <v/>
      </c>
      <c r="AU19" s="3" t="str">
        <f t="shared" ref="AU19:BD23" si="48">IF(AU$1&lt;=$D19,IF(AU$1=$D19,AU$8+AU$11,AU$8),"")</f>
        <v/>
      </c>
      <c r="AV19" s="3" t="str">
        <f t="shared" si="48"/>
        <v/>
      </c>
      <c r="AW19" s="3" t="str">
        <f t="shared" si="48"/>
        <v/>
      </c>
      <c r="AX19" s="3" t="str">
        <f t="shared" si="48"/>
        <v/>
      </c>
      <c r="AY19" s="3" t="str">
        <f t="shared" si="48"/>
        <v/>
      </c>
      <c r="AZ19" s="3" t="str">
        <f t="shared" si="48"/>
        <v/>
      </c>
      <c r="BA19" s="3" t="str">
        <f t="shared" si="48"/>
        <v/>
      </c>
      <c r="BB19" s="3" t="str">
        <f t="shared" si="48"/>
        <v/>
      </c>
      <c r="BC19" s="3" t="str">
        <f t="shared" si="48"/>
        <v/>
      </c>
      <c r="BD19" s="3" t="str">
        <f t="shared" si="48"/>
        <v/>
      </c>
      <c r="BE19" s="3" t="str">
        <f t="shared" ref="BE19:BN23" si="49">IF(BE$1&lt;=$D19,IF(BE$1=$D19,BE$8+BE$11,BE$8),"")</f>
        <v/>
      </c>
      <c r="BF19" s="3" t="str">
        <f t="shared" si="49"/>
        <v/>
      </c>
      <c r="BG19" s="3" t="str">
        <f t="shared" si="49"/>
        <v/>
      </c>
      <c r="BH19" s="3" t="str">
        <f t="shared" si="49"/>
        <v/>
      </c>
      <c r="BI19" s="3" t="str">
        <f t="shared" si="49"/>
        <v/>
      </c>
      <c r="BJ19" s="3" t="str">
        <f t="shared" si="49"/>
        <v/>
      </c>
      <c r="BK19" s="3" t="str">
        <f t="shared" si="49"/>
        <v/>
      </c>
      <c r="BL19" s="3" t="str">
        <f t="shared" si="49"/>
        <v/>
      </c>
      <c r="BM19" s="3" t="str">
        <f t="shared" si="49"/>
        <v/>
      </c>
      <c r="BN19" s="3" t="str">
        <f t="shared" si="49"/>
        <v/>
      </c>
      <c r="BO19" s="3" t="str">
        <f t="shared" ref="BO19:BX23" si="50">IF(BO$1&lt;=$D19,IF(BO$1=$D19,BO$8+BO$11,BO$8),"")</f>
        <v/>
      </c>
      <c r="BP19" s="3" t="str">
        <f t="shared" si="50"/>
        <v/>
      </c>
      <c r="BQ19" s="3" t="str">
        <f t="shared" si="50"/>
        <v/>
      </c>
      <c r="BR19" s="3" t="str">
        <f t="shared" si="50"/>
        <v/>
      </c>
      <c r="BS19" s="3" t="str">
        <f t="shared" si="50"/>
        <v/>
      </c>
      <c r="BT19" s="3" t="str">
        <f t="shared" si="50"/>
        <v/>
      </c>
      <c r="BU19" s="3" t="str">
        <f t="shared" si="50"/>
        <v/>
      </c>
      <c r="BV19" s="3" t="str">
        <f t="shared" si="50"/>
        <v/>
      </c>
      <c r="BW19" s="3" t="str">
        <f t="shared" si="50"/>
        <v/>
      </c>
      <c r="BX19" s="3" t="str">
        <f t="shared" si="50"/>
        <v/>
      </c>
      <c r="BY19" s="3" t="str">
        <f t="shared" ref="BY19:CH23" si="51">IF(BY$1&lt;=$D19,IF(BY$1=$D19,BY$8+BY$11,BY$8),"")</f>
        <v/>
      </c>
      <c r="BZ19" s="3" t="str">
        <f t="shared" si="51"/>
        <v/>
      </c>
      <c r="CA19" s="3" t="str">
        <f t="shared" si="51"/>
        <v/>
      </c>
      <c r="CB19" s="3" t="str">
        <f t="shared" si="51"/>
        <v/>
      </c>
      <c r="CC19" s="3" t="str">
        <f t="shared" si="51"/>
        <v/>
      </c>
      <c r="CD19" s="3" t="str">
        <f t="shared" si="51"/>
        <v/>
      </c>
      <c r="CE19" s="3" t="str">
        <f t="shared" si="51"/>
        <v/>
      </c>
      <c r="CF19" s="3" t="str">
        <f t="shared" si="51"/>
        <v/>
      </c>
      <c r="CG19" s="3" t="str">
        <f t="shared" si="51"/>
        <v/>
      </c>
      <c r="CH19" s="3" t="str">
        <f t="shared" si="51"/>
        <v/>
      </c>
      <c r="CI19" s="3" t="str">
        <f t="shared" ref="CI19:CR23" si="52">IF(CI$1&lt;=$D19,IF(CI$1=$D19,CI$8+CI$11,CI$8),"")</f>
        <v/>
      </c>
      <c r="CJ19" s="3" t="str">
        <f t="shared" si="52"/>
        <v/>
      </c>
      <c r="CK19" s="3" t="str">
        <f t="shared" si="52"/>
        <v/>
      </c>
      <c r="CL19" s="3" t="str">
        <f t="shared" si="52"/>
        <v/>
      </c>
      <c r="CM19" s="3" t="str">
        <f t="shared" si="52"/>
        <v/>
      </c>
      <c r="CN19" s="3" t="str">
        <f t="shared" si="52"/>
        <v/>
      </c>
      <c r="CO19" s="3" t="str">
        <f t="shared" si="52"/>
        <v/>
      </c>
      <c r="CP19" s="3" t="str">
        <f t="shared" si="52"/>
        <v/>
      </c>
      <c r="CQ19" s="3" t="str">
        <f t="shared" si="52"/>
        <v/>
      </c>
      <c r="CR19" s="3" t="str">
        <f t="shared" si="52"/>
        <v/>
      </c>
      <c r="CS19" s="3" t="str">
        <f t="shared" ref="CS19:DB23" si="53">IF(CS$1&lt;=$D19,IF(CS$1=$D19,CS$8+CS$11,CS$8),"")</f>
        <v/>
      </c>
      <c r="CT19" s="3" t="str">
        <f t="shared" si="53"/>
        <v/>
      </c>
      <c r="CU19" s="3" t="str">
        <f t="shared" si="53"/>
        <v/>
      </c>
      <c r="CV19" s="3" t="str">
        <f t="shared" si="53"/>
        <v/>
      </c>
      <c r="CW19" s="3" t="str">
        <f t="shared" si="53"/>
        <v/>
      </c>
      <c r="CX19" s="3" t="str">
        <f t="shared" si="53"/>
        <v/>
      </c>
      <c r="CY19" s="3" t="str">
        <f t="shared" si="53"/>
        <v/>
      </c>
      <c r="CZ19" s="3" t="str">
        <f t="shared" si="53"/>
        <v/>
      </c>
      <c r="DA19" s="3" t="str">
        <f t="shared" si="53"/>
        <v/>
      </c>
      <c r="DB19" s="3" t="str">
        <f t="shared" si="53"/>
        <v/>
      </c>
      <c r="DC19" s="3" t="str">
        <f t="shared" ref="DC19:DL23" si="54">IF(DC$1&lt;=$D19,IF(DC$1=$D19,DC$8+DC$11,DC$8),"")</f>
        <v/>
      </c>
      <c r="DD19" s="3" t="str">
        <f t="shared" si="54"/>
        <v/>
      </c>
      <c r="DE19" s="3" t="str">
        <f t="shared" si="54"/>
        <v/>
      </c>
      <c r="DF19" s="3" t="str">
        <f t="shared" si="54"/>
        <v/>
      </c>
      <c r="DG19" s="3" t="str">
        <f t="shared" si="54"/>
        <v/>
      </c>
      <c r="DH19" s="3" t="str">
        <f t="shared" si="54"/>
        <v/>
      </c>
      <c r="DI19" s="3" t="str">
        <f t="shared" si="54"/>
        <v/>
      </c>
      <c r="DJ19" s="3" t="str">
        <f t="shared" si="54"/>
        <v/>
      </c>
      <c r="DK19" s="3" t="str">
        <f t="shared" si="54"/>
        <v/>
      </c>
      <c r="DL19" s="3" t="str">
        <f t="shared" si="54"/>
        <v/>
      </c>
      <c r="DM19" s="3" t="str">
        <f t="shared" ref="DM19:DV23" si="55">IF(DM$1&lt;=$D19,IF(DM$1=$D19,DM$8+DM$11,DM$8),"")</f>
        <v/>
      </c>
      <c r="DN19" s="3" t="str">
        <f t="shared" si="55"/>
        <v/>
      </c>
      <c r="DO19" s="3" t="str">
        <f t="shared" si="55"/>
        <v/>
      </c>
      <c r="DP19" s="3" t="str">
        <f t="shared" si="55"/>
        <v/>
      </c>
      <c r="DQ19" s="3" t="str">
        <f t="shared" si="55"/>
        <v/>
      </c>
      <c r="DR19" s="3" t="str">
        <f t="shared" si="55"/>
        <v/>
      </c>
      <c r="DS19" s="3" t="str">
        <f t="shared" si="55"/>
        <v/>
      </c>
      <c r="DT19" s="3" t="str">
        <f t="shared" si="55"/>
        <v/>
      </c>
      <c r="DU19" s="3" t="str">
        <f t="shared" si="55"/>
        <v/>
      </c>
      <c r="DV19" s="3" t="str">
        <f t="shared" si="55"/>
        <v/>
      </c>
    </row>
    <row r="20" spans="1:126" x14ac:dyDescent="0.45">
      <c r="D20">
        <v>36</v>
      </c>
      <c r="E20" t="s">
        <v>69</v>
      </c>
      <c r="F20" s="3">
        <f>-$F$6</f>
        <v>956250</v>
      </c>
      <c r="G20" s="3" t="e">
        <f t="shared" si="44"/>
        <v>#DIV/0!</v>
      </c>
      <c r="H20" s="3" t="e">
        <f t="shared" si="44"/>
        <v>#DIV/0!</v>
      </c>
      <c r="I20" s="3" t="e">
        <f t="shared" si="44"/>
        <v>#DIV/0!</v>
      </c>
      <c r="J20" s="3" t="e">
        <f t="shared" si="44"/>
        <v>#DIV/0!</v>
      </c>
      <c r="K20" s="3" t="e">
        <f t="shared" si="44"/>
        <v>#DIV/0!</v>
      </c>
      <c r="L20" s="3" t="e">
        <f t="shared" si="44"/>
        <v>#DIV/0!</v>
      </c>
      <c r="M20" s="3" t="e">
        <f t="shared" si="44"/>
        <v>#DIV/0!</v>
      </c>
      <c r="N20" s="3" t="e">
        <f t="shared" si="44"/>
        <v>#DIV/0!</v>
      </c>
      <c r="O20" s="3" t="e">
        <f t="shared" si="44"/>
        <v>#DIV/0!</v>
      </c>
      <c r="P20" s="3" t="e">
        <f t="shared" si="44"/>
        <v>#DIV/0!</v>
      </c>
      <c r="Q20" s="3" t="e">
        <f t="shared" si="45"/>
        <v>#DIV/0!</v>
      </c>
      <c r="R20" s="3" t="e">
        <f t="shared" si="45"/>
        <v>#DIV/0!</v>
      </c>
      <c r="S20" s="46" t="e">
        <f t="shared" si="45"/>
        <v>#DIV/0!</v>
      </c>
      <c r="T20" s="3" t="e">
        <f t="shared" si="45"/>
        <v>#DIV/0!</v>
      </c>
      <c r="U20" s="3" t="e">
        <f t="shared" si="45"/>
        <v>#DIV/0!</v>
      </c>
      <c r="V20" s="3" t="e">
        <f t="shared" si="45"/>
        <v>#DIV/0!</v>
      </c>
      <c r="W20" s="3" t="e">
        <f t="shared" si="45"/>
        <v>#DIV/0!</v>
      </c>
      <c r="X20" s="3" t="e">
        <f t="shared" si="45"/>
        <v>#DIV/0!</v>
      </c>
      <c r="Y20" s="3" t="e">
        <f t="shared" si="45"/>
        <v>#DIV/0!</v>
      </c>
      <c r="Z20" s="3" t="e">
        <f t="shared" si="45"/>
        <v>#DIV/0!</v>
      </c>
      <c r="AA20" s="3" t="e">
        <f t="shared" si="46"/>
        <v>#DIV/0!</v>
      </c>
      <c r="AB20" s="3" t="e">
        <f t="shared" si="46"/>
        <v>#DIV/0!</v>
      </c>
      <c r="AC20" s="3" t="e">
        <f t="shared" si="46"/>
        <v>#DIV/0!</v>
      </c>
      <c r="AD20" s="3" t="e">
        <f t="shared" si="46"/>
        <v>#DIV/0!</v>
      </c>
      <c r="AE20" s="3" t="e">
        <f t="shared" si="46"/>
        <v>#DIV/0!</v>
      </c>
      <c r="AF20" s="3" t="e">
        <f t="shared" si="46"/>
        <v>#DIV/0!</v>
      </c>
      <c r="AG20" s="3" t="e">
        <f t="shared" si="46"/>
        <v>#DIV/0!</v>
      </c>
      <c r="AH20" s="3" t="e">
        <f t="shared" si="46"/>
        <v>#DIV/0!</v>
      </c>
      <c r="AI20" s="3" t="e">
        <f t="shared" si="46"/>
        <v>#DIV/0!</v>
      </c>
      <c r="AJ20" s="3" t="e">
        <f t="shared" si="46"/>
        <v>#DIV/0!</v>
      </c>
      <c r="AK20" s="3" t="e">
        <f t="shared" si="47"/>
        <v>#DIV/0!</v>
      </c>
      <c r="AL20" s="3" t="e">
        <f t="shared" si="47"/>
        <v>#DIV/0!</v>
      </c>
      <c r="AM20" s="3" t="e">
        <f t="shared" si="47"/>
        <v>#DIV/0!</v>
      </c>
      <c r="AN20" s="3" t="e">
        <f t="shared" si="47"/>
        <v>#DIV/0!</v>
      </c>
      <c r="AO20" s="3" t="e">
        <f t="shared" si="47"/>
        <v>#DIV/0!</v>
      </c>
      <c r="AP20" s="3" t="e">
        <f t="shared" si="47"/>
        <v>#DIV/0!</v>
      </c>
      <c r="AQ20" s="3" t="str">
        <f t="shared" si="47"/>
        <v/>
      </c>
      <c r="AR20" s="3" t="str">
        <f t="shared" si="47"/>
        <v/>
      </c>
      <c r="AS20" s="3" t="str">
        <f t="shared" si="47"/>
        <v/>
      </c>
      <c r="AT20" s="3" t="str">
        <f t="shared" si="47"/>
        <v/>
      </c>
      <c r="AU20" s="3" t="str">
        <f t="shared" si="48"/>
        <v/>
      </c>
      <c r="AV20" s="3" t="str">
        <f t="shared" si="48"/>
        <v/>
      </c>
      <c r="AW20" s="3" t="str">
        <f t="shared" si="48"/>
        <v/>
      </c>
      <c r="AX20" s="3" t="str">
        <f t="shared" si="48"/>
        <v/>
      </c>
      <c r="AY20" s="3" t="str">
        <f t="shared" si="48"/>
        <v/>
      </c>
      <c r="AZ20" s="3" t="str">
        <f t="shared" si="48"/>
        <v/>
      </c>
      <c r="BA20" s="3" t="str">
        <f t="shared" si="48"/>
        <v/>
      </c>
      <c r="BB20" s="3" t="str">
        <f t="shared" si="48"/>
        <v/>
      </c>
      <c r="BC20" s="3" t="str">
        <f t="shared" si="48"/>
        <v/>
      </c>
      <c r="BD20" s="3" t="str">
        <f t="shared" si="48"/>
        <v/>
      </c>
      <c r="BE20" s="3" t="str">
        <f t="shared" si="49"/>
        <v/>
      </c>
      <c r="BF20" s="3" t="str">
        <f t="shared" si="49"/>
        <v/>
      </c>
      <c r="BG20" s="3" t="str">
        <f t="shared" si="49"/>
        <v/>
      </c>
      <c r="BH20" s="3" t="str">
        <f t="shared" si="49"/>
        <v/>
      </c>
      <c r="BI20" s="3" t="str">
        <f t="shared" si="49"/>
        <v/>
      </c>
      <c r="BJ20" s="3" t="str">
        <f t="shared" si="49"/>
        <v/>
      </c>
      <c r="BK20" s="3" t="str">
        <f t="shared" si="49"/>
        <v/>
      </c>
      <c r="BL20" s="3" t="str">
        <f t="shared" si="49"/>
        <v/>
      </c>
      <c r="BM20" s="3" t="str">
        <f t="shared" si="49"/>
        <v/>
      </c>
      <c r="BN20" s="3" t="str">
        <f t="shared" si="49"/>
        <v/>
      </c>
      <c r="BO20" s="3" t="str">
        <f t="shared" si="50"/>
        <v/>
      </c>
      <c r="BP20" s="3" t="str">
        <f t="shared" si="50"/>
        <v/>
      </c>
      <c r="BQ20" s="3" t="str">
        <f t="shared" si="50"/>
        <v/>
      </c>
      <c r="BR20" s="3" t="str">
        <f t="shared" si="50"/>
        <v/>
      </c>
      <c r="BS20" s="3" t="str">
        <f t="shared" si="50"/>
        <v/>
      </c>
      <c r="BT20" s="3" t="str">
        <f t="shared" si="50"/>
        <v/>
      </c>
      <c r="BU20" s="3" t="str">
        <f t="shared" si="50"/>
        <v/>
      </c>
      <c r="BV20" s="3" t="str">
        <f t="shared" si="50"/>
        <v/>
      </c>
      <c r="BW20" s="3" t="str">
        <f t="shared" si="50"/>
        <v/>
      </c>
      <c r="BX20" s="3" t="str">
        <f t="shared" si="50"/>
        <v/>
      </c>
      <c r="BY20" s="3" t="str">
        <f t="shared" si="51"/>
        <v/>
      </c>
      <c r="BZ20" s="3" t="str">
        <f t="shared" si="51"/>
        <v/>
      </c>
      <c r="CA20" s="3" t="str">
        <f t="shared" si="51"/>
        <v/>
      </c>
      <c r="CB20" s="3" t="str">
        <f t="shared" si="51"/>
        <v/>
      </c>
      <c r="CC20" s="3" t="str">
        <f t="shared" si="51"/>
        <v/>
      </c>
      <c r="CD20" s="3" t="str">
        <f t="shared" si="51"/>
        <v/>
      </c>
      <c r="CE20" s="3" t="str">
        <f t="shared" si="51"/>
        <v/>
      </c>
      <c r="CF20" s="3" t="str">
        <f t="shared" si="51"/>
        <v/>
      </c>
      <c r="CG20" s="3" t="str">
        <f t="shared" si="51"/>
        <v/>
      </c>
      <c r="CH20" s="3" t="str">
        <f t="shared" si="51"/>
        <v/>
      </c>
      <c r="CI20" s="3" t="str">
        <f t="shared" si="52"/>
        <v/>
      </c>
      <c r="CJ20" s="3" t="str">
        <f t="shared" si="52"/>
        <v/>
      </c>
      <c r="CK20" s="3" t="str">
        <f t="shared" si="52"/>
        <v/>
      </c>
      <c r="CL20" s="3" t="str">
        <f t="shared" si="52"/>
        <v/>
      </c>
      <c r="CM20" s="3" t="str">
        <f t="shared" si="52"/>
        <v/>
      </c>
      <c r="CN20" s="3" t="str">
        <f t="shared" si="52"/>
        <v/>
      </c>
      <c r="CO20" s="3" t="str">
        <f t="shared" si="52"/>
        <v/>
      </c>
      <c r="CP20" s="3" t="str">
        <f t="shared" si="52"/>
        <v/>
      </c>
      <c r="CQ20" s="3" t="str">
        <f t="shared" si="52"/>
        <v/>
      </c>
      <c r="CR20" s="3" t="str">
        <f t="shared" si="52"/>
        <v/>
      </c>
      <c r="CS20" s="3" t="str">
        <f t="shared" si="53"/>
        <v/>
      </c>
      <c r="CT20" s="3" t="str">
        <f t="shared" si="53"/>
        <v/>
      </c>
      <c r="CU20" s="3" t="str">
        <f t="shared" si="53"/>
        <v/>
      </c>
      <c r="CV20" s="3" t="str">
        <f t="shared" si="53"/>
        <v/>
      </c>
      <c r="CW20" s="3" t="str">
        <f t="shared" si="53"/>
        <v/>
      </c>
      <c r="CX20" s="3" t="str">
        <f t="shared" si="53"/>
        <v/>
      </c>
      <c r="CY20" s="3" t="str">
        <f t="shared" si="53"/>
        <v/>
      </c>
      <c r="CZ20" s="3" t="str">
        <f t="shared" si="53"/>
        <v/>
      </c>
      <c r="DA20" s="3" t="str">
        <f t="shared" si="53"/>
        <v/>
      </c>
      <c r="DB20" s="3" t="str">
        <f t="shared" si="53"/>
        <v/>
      </c>
      <c r="DC20" s="3" t="str">
        <f t="shared" si="54"/>
        <v/>
      </c>
      <c r="DD20" s="3" t="str">
        <f t="shared" si="54"/>
        <v/>
      </c>
      <c r="DE20" s="3" t="str">
        <f t="shared" si="54"/>
        <v/>
      </c>
      <c r="DF20" s="3" t="str">
        <f t="shared" si="54"/>
        <v/>
      </c>
      <c r="DG20" s="3" t="str">
        <f t="shared" si="54"/>
        <v/>
      </c>
      <c r="DH20" s="3" t="str">
        <f t="shared" si="54"/>
        <v/>
      </c>
      <c r="DI20" s="3" t="str">
        <f t="shared" si="54"/>
        <v/>
      </c>
      <c r="DJ20" s="3" t="str">
        <f t="shared" si="54"/>
        <v/>
      </c>
      <c r="DK20" s="3" t="str">
        <f t="shared" si="54"/>
        <v/>
      </c>
      <c r="DL20" s="3" t="str">
        <f t="shared" si="54"/>
        <v/>
      </c>
      <c r="DM20" s="3" t="str">
        <f t="shared" si="55"/>
        <v/>
      </c>
      <c r="DN20" s="3" t="str">
        <f t="shared" si="55"/>
        <v/>
      </c>
      <c r="DO20" s="3" t="str">
        <f t="shared" si="55"/>
        <v/>
      </c>
      <c r="DP20" s="3" t="str">
        <f t="shared" si="55"/>
        <v/>
      </c>
      <c r="DQ20" s="3" t="str">
        <f t="shared" si="55"/>
        <v/>
      </c>
      <c r="DR20" s="3" t="str">
        <f t="shared" si="55"/>
        <v/>
      </c>
      <c r="DS20" s="3" t="str">
        <f t="shared" si="55"/>
        <v/>
      </c>
      <c r="DT20" s="3" t="str">
        <f t="shared" si="55"/>
        <v/>
      </c>
      <c r="DU20" s="3" t="str">
        <f t="shared" si="55"/>
        <v/>
      </c>
      <c r="DV20" s="3" t="str">
        <f t="shared" si="55"/>
        <v/>
      </c>
    </row>
    <row r="21" spans="1:126" x14ac:dyDescent="0.45">
      <c r="D21">
        <v>60</v>
      </c>
      <c r="E21" t="s">
        <v>73</v>
      </c>
      <c r="F21" s="3">
        <f>-$F$6</f>
        <v>956250</v>
      </c>
      <c r="G21" s="3" t="e">
        <f t="shared" si="44"/>
        <v>#DIV/0!</v>
      </c>
      <c r="H21" s="3" t="e">
        <f t="shared" si="44"/>
        <v>#DIV/0!</v>
      </c>
      <c r="I21" s="3" t="e">
        <f t="shared" si="44"/>
        <v>#DIV/0!</v>
      </c>
      <c r="J21" s="3" t="e">
        <f t="shared" si="44"/>
        <v>#DIV/0!</v>
      </c>
      <c r="K21" s="3" t="e">
        <f t="shared" si="44"/>
        <v>#DIV/0!</v>
      </c>
      <c r="L21" s="3" t="e">
        <f t="shared" si="44"/>
        <v>#DIV/0!</v>
      </c>
      <c r="M21" s="3" t="e">
        <f t="shared" si="44"/>
        <v>#DIV/0!</v>
      </c>
      <c r="N21" s="3" t="e">
        <f t="shared" si="44"/>
        <v>#DIV/0!</v>
      </c>
      <c r="O21" s="3" t="e">
        <f t="shared" si="44"/>
        <v>#DIV/0!</v>
      </c>
      <c r="P21" s="3" t="e">
        <f t="shared" si="44"/>
        <v>#DIV/0!</v>
      </c>
      <c r="Q21" s="3" t="e">
        <f t="shared" si="45"/>
        <v>#DIV/0!</v>
      </c>
      <c r="R21" s="3" t="e">
        <f t="shared" si="45"/>
        <v>#DIV/0!</v>
      </c>
      <c r="S21" s="46" t="e">
        <f t="shared" si="45"/>
        <v>#DIV/0!</v>
      </c>
      <c r="T21" s="3" t="e">
        <f t="shared" si="45"/>
        <v>#DIV/0!</v>
      </c>
      <c r="U21" s="3" t="e">
        <f t="shared" si="45"/>
        <v>#DIV/0!</v>
      </c>
      <c r="V21" s="3" t="e">
        <f t="shared" si="45"/>
        <v>#DIV/0!</v>
      </c>
      <c r="W21" s="3" t="e">
        <f t="shared" si="45"/>
        <v>#DIV/0!</v>
      </c>
      <c r="X21" s="3" t="e">
        <f t="shared" si="45"/>
        <v>#DIV/0!</v>
      </c>
      <c r="Y21" s="3" t="e">
        <f t="shared" si="45"/>
        <v>#DIV/0!</v>
      </c>
      <c r="Z21" s="3" t="e">
        <f t="shared" si="45"/>
        <v>#DIV/0!</v>
      </c>
      <c r="AA21" s="3" t="e">
        <f t="shared" si="46"/>
        <v>#DIV/0!</v>
      </c>
      <c r="AB21" s="3" t="e">
        <f t="shared" si="46"/>
        <v>#DIV/0!</v>
      </c>
      <c r="AC21" s="3" t="e">
        <f t="shared" si="46"/>
        <v>#DIV/0!</v>
      </c>
      <c r="AD21" s="3" t="e">
        <f t="shared" si="46"/>
        <v>#DIV/0!</v>
      </c>
      <c r="AE21" s="3" t="e">
        <f t="shared" si="46"/>
        <v>#DIV/0!</v>
      </c>
      <c r="AF21" s="3" t="e">
        <f t="shared" si="46"/>
        <v>#DIV/0!</v>
      </c>
      <c r="AG21" s="3" t="e">
        <f t="shared" si="46"/>
        <v>#DIV/0!</v>
      </c>
      <c r="AH21" s="3" t="e">
        <f t="shared" si="46"/>
        <v>#DIV/0!</v>
      </c>
      <c r="AI21" s="3" t="e">
        <f t="shared" si="46"/>
        <v>#DIV/0!</v>
      </c>
      <c r="AJ21" s="3" t="e">
        <f t="shared" si="46"/>
        <v>#DIV/0!</v>
      </c>
      <c r="AK21" s="3" t="e">
        <f t="shared" si="47"/>
        <v>#DIV/0!</v>
      </c>
      <c r="AL21" s="3" t="e">
        <f t="shared" si="47"/>
        <v>#DIV/0!</v>
      </c>
      <c r="AM21" s="3" t="e">
        <f t="shared" si="47"/>
        <v>#DIV/0!</v>
      </c>
      <c r="AN21" s="3" t="e">
        <f t="shared" si="47"/>
        <v>#DIV/0!</v>
      </c>
      <c r="AO21" s="3" t="e">
        <f t="shared" si="47"/>
        <v>#DIV/0!</v>
      </c>
      <c r="AP21" s="3" t="e">
        <f t="shared" si="47"/>
        <v>#DIV/0!</v>
      </c>
      <c r="AQ21" s="3" t="e">
        <f t="shared" si="47"/>
        <v>#DIV/0!</v>
      </c>
      <c r="AR21" s="3" t="e">
        <f t="shared" si="47"/>
        <v>#DIV/0!</v>
      </c>
      <c r="AS21" s="3" t="e">
        <f t="shared" si="47"/>
        <v>#DIV/0!</v>
      </c>
      <c r="AT21" s="3" t="e">
        <f t="shared" si="47"/>
        <v>#DIV/0!</v>
      </c>
      <c r="AU21" s="3" t="e">
        <f t="shared" si="48"/>
        <v>#DIV/0!</v>
      </c>
      <c r="AV21" s="3" t="e">
        <f t="shared" si="48"/>
        <v>#DIV/0!</v>
      </c>
      <c r="AW21" s="3" t="e">
        <f t="shared" si="48"/>
        <v>#DIV/0!</v>
      </c>
      <c r="AX21" s="3" t="e">
        <f t="shared" si="48"/>
        <v>#DIV/0!</v>
      </c>
      <c r="AY21" s="3" t="e">
        <f t="shared" si="48"/>
        <v>#DIV/0!</v>
      </c>
      <c r="AZ21" s="3" t="e">
        <f t="shared" si="48"/>
        <v>#DIV/0!</v>
      </c>
      <c r="BA21" s="3" t="e">
        <f t="shared" si="48"/>
        <v>#DIV/0!</v>
      </c>
      <c r="BB21" s="3" t="e">
        <f t="shared" si="48"/>
        <v>#DIV/0!</v>
      </c>
      <c r="BC21" s="3" t="e">
        <f t="shared" si="48"/>
        <v>#DIV/0!</v>
      </c>
      <c r="BD21" s="3" t="e">
        <f t="shared" si="48"/>
        <v>#DIV/0!</v>
      </c>
      <c r="BE21" s="3" t="e">
        <f t="shared" si="49"/>
        <v>#DIV/0!</v>
      </c>
      <c r="BF21" s="3" t="e">
        <f t="shared" si="49"/>
        <v>#DIV/0!</v>
      </c>
      <c r="BG21" s="3" t="e">
        <f t="shared" si="49"/>
        <v>#DIV/0!</v>
      </c>
      <c r="BH21" s="3" t="e">
        <f t="shared" si="49"/>
        <v>#DIV/0!</v>
      </c>
      <c r="BI21" s="3" t="e">
        <f t="shared" si="49"/>
        <v>#DIV/0!</v>
      </c>
      <c r="BJ21" s="3" t="e">
        <f t="shared" si="49"/>
        <v>#DIV/0!</v>
      </c>
      <c r="BK21" s="3" t="e">
        <f t="shared" si="49"/>
        <v>#DIV/0!</v>
      </c>
      <c r="BL21" s="3" t="e">
        <f t="shared" si="49"/>
        <v>#DIV/0!</v>
      </c>
      <c r="BM21" s="3" t="e">
        <f t="shared" si="49"/>
        <v>#DIV/0!</v>
      </c>
      <c r="BN21" s="3" t="e">
        <f t="shared" si="49"/>
        <v>#DIV/0!</v>
      </c>
      <c r="BO21" s="3" t="str">
        <f t="shared" si="50"/>
        <v/>
      </c>
      <c r="BP21" s="3" t="str">
        <f t="shared" si="50"/>
        <v/>
      </c>
      <c r="BQ21" s="3" t="str">
        <f t="shared" si="50"/>
        <v/>
      </c>
      <c r="BR21" s="3" t="str">
        <f t="shared" si="50"/>
        <v/>
      </c>
      <c r="BS21" s="3" t="str">
        <f t="shared" si="50"/>
        <v/>
      </c>
      <c r="BT21" s="3" t="str">
        <f t="shared" si="50"/>
        <v/>
      </c>
      <c r="BU21" s="3" t="str">
        <f t="shared" si="50"/>
        <v/>
      </c>
      <c r="BV21" s="3" t="str">
        <f t="shared" si="50"/>
        <v/>
      </c>
      <c r="BW21" s="3" t="str">
        <f t="shared" si="50"/>
        <v/>
      </c>
      <c r="BX21" s="3" t="str">
        <f t="shared" si="50"/>
        <v/>
      </c>
      <c r="BY21" s="3" t="str">
        <f t="shared" si="51"/>
        <v/>
      </c>
      <c r="BZ21" s="3" t="str">
        <f t="shared" si="51"/>
        <v/>
      </c>
      <c r="CA21" s="3" t="str">
        <f t="shared" si="51"/>
        <v/>
      </c>
      <c r="CB21" s="3" t="str">
        <f t="shared" si="51"/>
        <v/>
      </c>
      <c r="CC21" s="3" t="str">
        <f t="shared" si="51"/>
        <v/>
      </c>
      <c r="CD21" s="3" t="str">
        <f t="shared" si="51"/>
        <v/>
      </c>
      <c r="CE21" s="3" t="str">
        <f t="shared" si="51"/>
        <v/>
      </c>
      <c r="CF21" s="3" t="str">
        <f t="shared" si="51"/>
        <v/>
      </c>
      <c r="CG21" s="3" t="str">
        <f t="shared" si="51"/>
        <v/>
      </c>
      <c r="CH21" s="3" t="str">
        <f t="shared" si="51"/>
        <v/>
      </c>
      <c r="CI21" s="3" t="str">
        <f t="shared" si="52"/>
        <v/>
      </c>
      <c r="CJ21" s="3" t="str">
        <f t="shared" si="52"/>
        <v/>
      </c>
      <c r="CK21" s="3" t="str">
        <f t="shared" si="52"/>
        <v/>
      </c>
      <c r="CL21" s="3" t="str">
        <f t="shared" si="52"/>
        <v/>
      </c>
      <c r="CM21" s="3" t="str">
        <f t="shared" si="52"/>
        <v/>
      </c>
      <c r="CN21" s="3" t="str">
        <f t="shared" si="52"/>
        <v/>
      </c>
      <c r="CO21" s="3" t="str">
        <f t="shared" si="52"/>
        <v/>
      </c>
      <c r="CP21" s="3" t="str">
        <f t="shared" si="52"/>
        <v/>
      </c>
      <c r="CQ21" s="3" t="str">
        <f t="shared" si="52"/>
        <v/>
      </c>
      <c r="CR21" s="3" t="str">
        <f t="shared" si="52"/>
        <v/>
      </c>
      <c r="CS21" s="3" t="str">
        <f t="shared" si="53"/>
        <v/>
      </c>
      <c r="CT21" s="3" t="str">
        <f t="shared" si="53"/>
        <v/>
      </c>
      <c r="CU21" s="3" t="str">
        <f t="shared" si="53"/>
        <v/>
      </c>
      <c r="CV21" s="3" t="str">
        <f t="shared" si="53"/>
        <v/>
      </c>
      <c r="CW21" s="3" t="str">
        <f t="shared" si="53"/>
        <v/>
      </c>
      <c r="CX21" s="3" t="str">
        <f t="shared" si="53"/>
        <v/>
      </c>
      <c r="CY21" s="3" t="str">
        <f t="shared" si="53"/>
        <v/>
      </c>
      <c r="CZ21" s="3" t="str">
        <f t="shared" si="53"/>
        <v/>
      </c>
      <c r="DA21" s="3" t="str">
        <f t="shared" si="53"/>
        <v/>
      </c>
      <c r="DB21" s="3" t="str">
        <f t="shared" si="53"/>
        <v/>
      </c>
      <c r="DC21" s="3" t="str">
        <f t="shared" si="54"/>
        <v/>
      </c>
      <c r="DD21" s="3" t="str">
        <f t="shared" si="54"/>
        <v/>
      </c>
      <c r="DE21" s="3" t="str">
        <f t="shared" si="54"/>
        <v/>
      </c>
      <c r="DF21" s="3" t="str">
        <f t="shared" si="54"/>
        <v/>
      </c>
      <c r="DG21" s="3" t="str">
        <f t="shared" si="54"/>
        <v/>
      </c>
      <c r="DH21" s="3" t="str">
        <f t="shared" si="54"/>
        <v/>
      </c>
      <c r="DI21" s="3" t="str">
        <f t="shared" si="54"/>
        <v/>
      </c>
      <c r="DJ21" s="3" t="str">
        <f t="shared" si="54"/>
        <v/>
      </c>
      <c r="DK21" s="3" t="str">
        <f t="shared" si="54"/>
        <v/>
      </c>
      <c r="DL21" s="3" t="str">
        <f t="shared" si="54"/>
        <v/>
      </c>
      <c r="DM21" s="3" t="str">
        <f t="shared" si="55"/>
        <v/>
      </c>
      <c r="DN21" s="3" t="str">
        <f t="shared" si="55"/>
        <v/>
      </c>
      <c r="DO21" s="3" t="str">
        <f t="shared" si="55"/>
        <v/>
      </c>
      <c r="DP21" s="3" t="str">
        <f t="shared" si="55"/>
        <v/>
      </c>
      <c r="DQ21" s="3" t="str">
        <f t="shared" si="55"/>
        <v/>
      </c>
      <c r="DR21" s="3" t="str">
        <f t="shared" si="55"/>
        <v/>
      </c>
      <c r="DS21" s="3" t="str">
        <f t="shared" si="55"/>
        <v/>
      </c>
      <c r="DT21" s="3" t="str">
        <f t="shared" si="55"/>
        <v/>
      </c>
      <c r="DU21" s="3" t="str">
        <f t="shared" si="55"/>
        <v/>
      </c>
      <c r="DV21" s="3" t="str">
        <f t="shared" si="55"/>
        <v/>
      </c>
    </row>
    <row r="22" spans="1:126" x14ac:dyDescent="0.45">
      <c r="D22">
        <v>84</v>
      </c>
      <c r="E22" t="s">
        <v>70</v>
      </c>
      <c r="F22" s="3">
        <f>-$F$6</f>
        <v>956250</v>
      </c>
      <c r="G22" s="3" t="e">
        <f t="shared" si="44"/>
        <v>#DIV/0!</v>
      </c>
      <c r="H22" s="3" t="e">
        <f t="shared" si="44"/>
        <v>#DIV/0!</v>
      </c>
      <c r="I22" s="3" t="e">
        <f t="shared" si="44"/>
        <v>#DIV/0!</v>
      </c>
      <c r="J22" s="3" t="e">
        <f t="shared" si="44"/>
        <v>#DIV/0!</v>
      </c>
      <c r="K22" s="3" t="e">
        <f t="shared" si="44"/>
        <v>#DIV/0!</v>
      </c>
      <c r="L22" s="3" t="e">
        <f t="shared" si="44"/>
        <v>#DIV/0!</v>
      </c>
      <c r="M22" s="3" t="e">
        <f t="shared" si="44"/>
        <v>#DIV/0!</v>
      </c>
      <c r="N22" s="3" t="e">
        <f t="shared" si="44"/>
        <v>#DIV/0!</v>
      </c>
      <c r="O22" s="3" t="e">
        <f t="shared" si="44"/>
        <v>#DIV/0!</v>
      </c>
      <c r="P22" s="3" t="e">
        <f t="shared" si="44"/>
        <v>#DIV/0!</v>
      </c>
      <c r="Q22" s="3" t="e">
        <f t="shared" si="45"/>
        <v>#DIV/0!</v>
      </c>
      <c r="R22" s="3" t="e">
        <f t="shared" si="45"/>
        <v>#DIV/0!</v>
      </c>
      <c r="S22" s="46" t="e">
        <f t="shared" si="45"/>
        <v>#DIV/0!</v>
      </c>
      <c r="T22" s="3" t="e">
        <f t="shared" si="45"/>
        <v>#DIV/0!</v>
      </c>
      <c r="U22" s="3" t="e">
        <f t="shared" si="45"/>
        <v>#DIV/0!</v>
      </c>
      <c r="V22" s="3" t="e">
        <f t="shared" si="45"/>
        <v>#DIV/0!</v>
      </c>
      <c r="W22" s="3" t="e">
        <f t="shared" si="45"/>
        <v>#DIV/0!</v>
      </c>
      <c r="X22" s="3" t="e">
        <f t="shared" si="45"/>
        <v>#DIV/0!</v>
      </c>
      <c r="Y22" s="3" t="e">
        <f t="shared" si="45"/>
        <v>#DIV/0!</v>
      </c>
      <c r="Z22" s="3" t="e">
        <f t="shared" si="45"/>
        <v>#DIV/0!</v>
      </c>
      <c r="AA22" s="3" t="e">
        <f t="shared" si="46"/>
        <v>#DIV/0!</v>
      </c>
      <c r="AB22" s="3" t="e">
        <f t="shared" si="46"/>
        <v>#DIV/0!</v>
      </c>
      <c r="AC22" s="3" t="e">
        <f t="shared" si="46"/>
        <v>#DIV/0!</v>
      </c>
      <c r="AD22" s="3" t="e">
        <f t="shared" si="46"/>
        <v>#DIV/0!</v>
      </c>
      <c r="AE22" s="3" t="e">
        <f t="shared" si="46"/>
        <v>#DIV/0!</v>
      </c>
      <c r="AF22" s="3" t="e">
        <f t="shared" si="46"/>
        <v>#DIV/0!</v>
      </c>
      <c r="AG22" s="3" t="e">
        <f t="shared" si="46"/>
        <v>#DIV/0!</v>
      </c>
      <c r="AH22" s="3" t="e">
        <f t="shared" si="46"/>
        <v>#DIV/0!</v>
      </c>
      <c r="AI22" s="3" t="e">
        <f t="shared" si="46"/>
        <v>#DIV/0!</v>
      </c>
      <c r="AJ22" s="3" t="e">
        <f t="shared" si="46"/>
        <v>#DIV/0!</v>
      </c>
      <c r="AK22" s="3" t="e">
        <f t="shared" si="47"/>
        <v>#DIV/0!</v>
      </c>
      <c r="AL22" s="3" t="e">
        <f t="shared" si="47"/>
        <v>#DIV/0!</v>
      </c>
      <c r="AM22" s="3" t="e">
        <f t="shared" si="47"/>
        <v>#DIV/0!</v>
      </c>
      <c r="AN22" s="3" t="e">
        <f t="shared" si="47"/>
        <v>#DIV/0!</v>
      </c>
      <c r="AO22" s="3" t="e">
        <f t="shared" si="47"/>
        <v>#DIV/0!</v>
      </c>
      <c r="AP22" s="3" t="e">
        <f t="shared" si="47"/>
        <v>#DIV/0!</v>
      </c>
      <c r="AQ22" s="3" t="e">
        <f t="shared" si="47"/>
        <v>#DIV/0!</v>
      </c>
      <c r="AR22" s="3" t="e">
        <f t="shared" si="47"/>
        <v>#DIV/0!</v>
      </c>
      <c r="AS22" s="3" t="e">
        <f t="shared" si="47"/>
        <v>#DIV/0!</v>
      </c>
      <c r="AT22" s="3" t="e">
        <f t="shared" si="47"/>
        <v>#DIV/0!</v>
      </c>
      <c r="AU22" s="3" t="e">
        <f t="shared" si="48"/>
        <v>#DIV/0!</v>
      </c>
      <c r="AV22" s="3" t="e">
        <f t="shared" si="48"/>
        <v>#DIV/0!</v>
      </c>
      <c r="AW22" s="3" t="e">
        <f t="shared" si="48"/>
        <v>#DIV/0!</v>
      </c>
      <c r="AX22" s="3" t="e">
        <f t="shared" si="48"/>
        <v>#DIV/0!</v>
      </c>
      <c r="AY22" s="3" t="e">
        <f t="shared" si="48"/>
        <v>#DIV/0!</v>
      </c>
      <c r="AZ22" s="3" t="e">
        <f t="shared" si="48"/>
        <v>#DIV/0!</v>
      </c>
      <c r="BA22" s="3" t="e">
        <f t="shared" si="48"/>
        <v>#DIV/0!</v>
      </c>
      <c r="BB22" s="3" t="e">
        <f t="shared" si="48"/>
        <v>#DIV/0!</v>
      </c>
      <c r="BC22" s="3" t="e">
        <f t="shared" si="48"/>
        <v>#DIV/0!</v>
      </c>
      <c r="BD22" s="3" t="e">
        <f t="shared" si="48"/>
        <v>#DIV/0!</v>
      </c>
      <c r="BE22" s="3" t="e">
        <f t="shared" si="49"/>
        <v>#DIV/0!</v>
      </c>
      <c r="BF22" s="3" t="e">
        <f t="shared" si="49"/>
        <v>#DIV/0!</v>
      </c>
      <c r="BG22" s="3" t="e">
        <f t="shared" si="49"/>
        <v>#DIV/0!</v>
      </c>
      <c r="BH22" s="3" t="e">
        <f t="shared" si="49"/>
        <v>#DIV/0!</v>
      </c>
      <c r="BI22" s="3" t="e">
        <f t="shared" si="49"/>
        <v>#DIV/0!</v>
      </c>
      <c r="BJ22" s="3" t="e">
        <f t="shared" si="49"/>
        <v>#DIV/0!</v>
      </c>
      <c r="BK22" s="3" t="e">
        <f t="shared" si="49"/>
        <v>#DIV/0!</v>
      </c>
      <c r="BL22" s="3" t="e">
        <f t="shared" si="49"/>
        <v>#DIV/0!</v>
      </c>
      <c r="BM22" s="3" t="e">
        <f t="shared" si="49"/>
        <v>#DIV/0!</v>
      </c>
      <c r="BN22" s="3" t="e">
        <f t="shared" si="49"/>
        <v>#DIV/0!</v>
      </c>
      <c r="BO22" s="3" t="e">
        <f t="shared" si="50"/>
        <v>#DIV/0!</v>
      </c>
      <c r="BP22" s="3" t="e">
        <f t="shared" si="50"/>
        <v>#DIV/0!</v>
      </c>
      <c r="BQ22" s="3" t="e">
        <f t="shared" si="50"/>
        <v>#DIV/0!</v>
      </c>
      <c r="BR22" s="3" t="e">
        <f t="shared" si="50"/>
        <v>#DIV/0!</v>
      </c>
      <c r="BS22" s="3" t="e">
        <f t="shared" si="50"/>
        <v>#DIV/0!</v>
      </c>
      <c r="BT22" s="3" t="e">
        <f t="shared" si="50"/>
        <v>#DIV/0!</v>
      </c>
      <c r="BU22" s="3" t="e">
        <f t="shared" si="50"/>
        <v>#DIV/0!</v>
      </c>
      <c r="BV22" s="3" t="e">
        <f t="shared" si="50"/>
        <v>#DIV/0!</v>
      </c>
      <c r="BW22" s="3" t="e">
        <f t="shared" si="50"/>
        <v>#DIV/0!</v>
      </c>
      <c r="BX22" s="3" t="e">
        <f t="shared" si="50"/>
        <v>#DIV/0!</v>
      </c>
      <c r="BY22" s="3" t="e">
        <f t="shared" si="51"/>
        <v>#DIV/0!</v>
      </c>
      <c r="BZ22" s="3" t="e">
        <f t="shared" si="51"/>
        <v>#DIV/0!</v>
      </c>
      <c r="CA22" s="3" t="e">
        <f t="shared" si="51"/>
        <v>#DIV/0!</v>
      </c>
      <c r="CB22" s="3" t="e">
        <f t="shared" si="51"/>
        <v>#DIV/0!</v>
      </c>
      <c r="CC22" s="3" t="e">
        <f t="shared" si="51"/>
        <v>#DIV/0!</v>
      </c>
      <c r="CD22" s="3" t="e">
        <f t="shared" si="51"/>
        <v>#DIV/0!</v>
      </c>
      <c r="CE22" s="3" t="e">
        <f t="shared" si="51"/>
        <v>#DIV/0!</v>
      </c>
      <c r="CF22" s="3" t="e">
        <f t="shared" si="51"/>
        <v>#DIV/0!</v>
      </c>
      <c r="CG22" s="3" t="e">
        <f t="shared" si="51"/>
        <v>#DIV/0!</v>
      </c>
      <c r="CH22" s="3" t="e">
        <f t="shared" si="51"/>
        <v>#DIV/0!</v>
      </c>
      <c r="CI22" s="3" t="e">
        <f t="shared" si="52"/>
        <v>#DIV/0!</v>
      </c>
      <c r="CJ22" s="3" t="e">
        <f t="shared" si="52"/>
        <v>#DIV/0!</v>
      </c>
      <c r="CK22" s="3" t="e">
        <f t="shared" si="52"/>
        <v>#DIV/0!</v>
      </c>
      <c r="CL22" s="3" t="e">
        <f t="shared" si="52"/>
        <v>#DIV/0!</v>
      </c>
      <c r="CM22" s="3" t="str">
        <f t="shared" si="52"/>
        <v/>
      </c>
      <c r="CN22" s="3" t="str">
        <f t="shared" si="52"/>
        <v/>
      </c>
      <c r="CO22" s="3" t="str">
        <f t="shared" si="52"/>
        <v/>
      </c>
      <c r="CP22" s="3" t="str">
        <f t="shared" si="52"/>
        <v/>
      </c>
      <c r="CQ22" s="3" t="str">
        <f t="shared" si="52"/>
        <v/>
      </c>
      <c r="CR22" s="3" t="str">
        <f t="shared" si="52"/>
        <v/>
      </c>
      <c r="CS22" s="3" t="str">
        <f t="shared" si="53"/>
        <v/>
      </c>
      <c r="CT22" s="3" t="str">
        <f t="shared" si="53"/>
        <v/>
      </c>
      <c r="CU22" s="3" t="str">
        <f t="shared" si="53"/>
        <v/>
      </c>
      <c r="CV22" s="3" t="str">
        <f t="shared" si="53"/>
        <v/>
      </c>
      <c r="CW22" s="3" t="str">
        <f t="shared" si="53"/>
        <v/>
      </c>
      <c r="CX22" s="3" t="str">
        <f t="shared" si="53"/>
        <v/>
      </c>
      <c r="CY22" s="3" t="str">
        <f t="shared" si="53"/>
        <v/>
      </c>
      <c r="CZ22" s="3" t="str">
        <f t="shared" si="53"/>
        <v/>
      </c>
      <c r="DA22" s="3" t="str">
        <f t="shared" si="53"/>
        <v/>
      </c>
      <c r="DB22" s="3" t="str">
        <f t="shared" si="53"/>
        <v/>
      </c>
      <c r="DC22" s="3" t="str">
        <f t="shared" si="54"/>
        <v/>
      </c>
      <c r="DD22" s="3" t="str">
        <f t="shared" si="54"/>
        <v/>
      </c>
      <c r="DE22" s="3" t="str">
        <f t="shared" si="54"/>
        <v/>
      </c>
      <c r="DF22" s="3" t="str">
        <f t="shared" si="54"/>
        <v/>
      </c>
      <c r="DG22" s="3" t="str">
        <f t="shared" si="54"/>
        <v/>
      </c>
      <c r="DH22" s="3" t="str">
        <f t="shared" si="54"/>
        <v/>
      </c>
      <c r="DI22" s="3" t="str">
        <f t="shared" si="54"/>
        <v/>
      </c>
      <c r="DJ22" s="3" t="str">
        <f t="shared" si="54"/>
        <v/>
      </c>
      <c r="DK22" s="3" t="str">
        <f t="shared" si="54"/>
        <v/>
      </c>
      <c r="DL22" s="3" t="str">
        <f t="shared" si="54"/>
        <v/>
      </c>
      <c r="DM22" s="3" t="str">
        <f t="shared" si="55"/>
        <v/>
      </c>
      <c r="DN22" s="3" t="str">
        <f t="shared" si="55"/>
        <v/>
      </c>
      <c r="DO22" s="3" t="str">
        <f t="shared" si="55"/>
        <v/>
      </c>
      <c r="DP22" s="3" t="str">
        <f t="shared" si="55"/>
        <v/>
      </c>
      <c r="DQ22" s="3" t="str">
        <f t="shared" si="55"/>
        <v/>
      </c>
      <c r="DR22" s="3" t="str">
        <f t="shared" si="55"/>
        <v/>
      </c>
      <c r="DS22" s="3" t="str">
        <f t="shared" si="55"/>
        <v/>
      </c>
      <c r="DT22" s="3" t="str">
        <f t="shared" si="55"/>
        <v/>
      </c>
      <c r="DU22" s="3" t="str">
        <f t="shared" si="55"/>
        <v/>
      </c>
      <c r="DV22" s="3" t="str">
        <f t="shared" si="55"/>
        <v/>
      </c>
    </row>
    <row r="23" spans="1:126" x14ac:dyDescent="0.45">
      <c r="D23">
        <v>120</v>
      </c>
      <c r="E23" t="s">
        <v>71</v>
      </c>
      <c r="F23" s="3">
        <f>-$F$6</f>
        <v>956250</v>
      </c>
      <c r="G23" s="3" t="e">
        <f t="shared" si="44"/>
        <v>#DIV/0!</v>
      </c>
      <c r="H23" s="3" t="e">
        <f t="shared" si="44"/>
        <v>#DIV/0!</v>
      </c>
      <c r="I23" s="3" t="e">
        <f t="shared" si="44"/>
        <v>#DIV/0!</v>
      </c>
      <c r="J23" s="3" t="e">
        <f t="shared" si="44"/>
        <v>#DIV/0!</v>
      </c>
      <c r="K23" s="3" t="e">
        <f t="shared" si="44"/>
        <v>#DIV/0!</v>
      </c>
      <c r="L23" s="3" t="e">
        <f t="shared" si="44"/>
        <v>#DIV/0!</v>
      </c>
      <c r="M23" s="3" t="e">
        <f t="shared" si="44"/>
        <v>#DIV/0!</v>
      </c>
      <c r="N23" s="3" t="e">
        <f t="shared" si="44"/>
        <v>#DIV/0!</v>
      </c>
      <c r="O23" s="3" t="e">
        <f t="shared" si="44"/>
        <v>#DIV/0!</v>
      </c>
      <c r="P23" s="3" t="e">
        <f t="shared" si="44"/>
        <v>#DIV/0!</v>
      </c>
      <c r="Q23" s="3" t="e">
        <f t="shared" si="45"/>
        <v>#DIV/0!</v>
      </c>
      <c r="R23" s="3" t="e">
        <f t="shared" si="45"/>
        <v>#DIV/0!</v>
      </c>
      <c r="S23" s="46" t="e">
        <f t="shared" si="45"/>
        <v>#DIV/0!</v>
      </c>
      <c r="T23" s="3" t="e">
        <f t="shared" si="45"/>
        <v>#DIV/0!</v>
      </c>
      <c r="U23" s="3" t="e">
        <f t="shared" si="45"/>
        <v>#DIV/0!</v>
      </c>
      <c r="V23" s="3" t="e">
        <f t="shared" si="45"/>
        <v>#DIV/0!</v>
      </c>
      <c r="W23" s="3" t="e">
        <f t="shared" si="45"/>
        <v>#DIV/0!</v>
      </c>
      <c r="X23" s="3" t="e">
        <f t="shared" si="45"/>
        <v>#DIV/0!</v>
      </c>
      <c r="Y23" s="3" t="e">
        <f t="shared" si="45"/>
        <v>#DIV/0!</v>
      </c>
      <c r="Z23" s="3" t="e">
        <f t="shared" si="45"/>
        <v>#DIV/0!</v>
      </c>
      <c r="AA23" s="3" t="e">
        <f t="shared" si="46"/>
        <v>#DIV/0!</v>
      </c>
      <c r="AB23" s="3" t="e">
        <f t="shared" si="46"/>
        <v>#DIV/0!</v>
      </c>
      <c r="AC23" s="3" t="e">
        <f t="shared" si="46"/>
        <v>#DIV/0!</v>
      </c>
      <c r="AD23" s="3" t="e">
        <f t="shared" si="46"/>
        <v>#DIV/0!</v>
      </c>
      <c r="AE23" s="3" t="e">
        <f t="shared" si="46"/>
        <v>#DIV/0!</v>
      </c>
      <c r="AF23" s="3" t="e">
        <f t="shared" si="46"/>
        <v>#DIV/0!</v>
      </c>
      <c r="AG23" s="3" t="e">
        <f t="shared" si="46"/>
        <v>#DIV/0!</v>
      </c>
      <c r="AH23" s="3" t="e">
        <f t="shared" si="46"/>
        <v>#DIV/0!</v>
      </c>
      <c r="AI23" s="3" t="e">
        <f t="shared" si="46"/>
        <v>#DIV/0!</v>
      </c>
      <c r="AJ23" s="3" t="e">
        <f t="shared" si="46"/>
        <v>#DIV/0!</v>
      </c>
      <c r="AK23" s="3" t="e">
        <f t="shared" si="47"/>
        <v>#DIV/0!</v>
      </c>
      <c r="AL23" s="3" t="e">
        <f t="shared" si="47"/>
        <v>#DIV/0!</v>
      </c>
      <c r="AM23" s="3" t="e">
        <f t="shared" si="47"/>
        <v>#DIV/0!</v>
      </c>
      <c r="AN23" s="3" t="e">
        <f t="shared" si="47"/>
        <v>#DIV/0!</v>
      </c>
      <c r="AO23" s="3" t="e">
        <f t="shared" si="47"/>
        <v>#DIV/0!</v>
      </c>
      <c r="AP23" s="3" t="e">
        <f t="shared" si="47"/>
        <v>#DIV/0!</v>
      </c>
      <c r="AQ23" s="3" t="e">
        <f t="shared" si="47"/>
        <v>#DIV/0!</v>
      </c>
      <c r="AR23" s="3" t="e">
        <f t="shared" si="47"/>
        <v>#DIV/0!</v>
      </c>
      <c r="AS23" s="3" t="e">
        <f t="shared" si="47"/>
        <v>#DIV/0!</v>
      </c>
      <c r="AT23" s="3" t="e">
        <f t="shared" si="47"/>
        <v>#DIV/0!</v>
      </c>
      <c r="AU23" s="3" t="e">
        <f t="shared" si="48"/>
        <v>#DIV/0!</v>
      </c>
      <c r="AV23" s="3" t="e">
        <f t="shared" si="48"/>
        <v>#DIV/0!</v>
      </c>
      <c r="AW23" s="3" t="e">
        <f t="shared" si="48"/>
        <v>#DIV/0!</v>
      </c>
      <c r="AX23" s="3" t="e">
        <f t="shared" si="48"/>
        <v>#DIV/0!</v>
      </c>
      <c r="AY23" s="3" t="e">
        <f t="shared" si="48"/>
        <v>#DIV/0!</v>
      </c>
      <c r="AZ23" s="3" t="e">
        <f t="shared" si="48"/>
        <v>#DIV/0!</v>
      </c>
      <c r="BA23" s="3" t="e">
        <f t="shared" si="48"/>
        <v>#DIV/0!</v>
      </c>
      <c r="BB23" s="3" t="e">
        <f t="shared" si="48"/>
        <v>#DIV/0!</v>
      </c>
      <c r="BC23" s="3" t="e">
        <f t="shared" si="48"/>
        <v>#DIV/0!</v>
      </c>
      <c r="BD23" s="3" t="e">
        <f t="shared" si="48"/>
        <v>#DIV/0!</v>
      </c>
      <c r="BE23" s="3" t="e">
        <f t="shared" si="49"/>
        <v>#DIV/0!</v>
      </c>
      <c r="BF23" s="3" t="e">
        <f t="shared" si="49"/>
        <v>#DIV/0!</v>
      </c>
      <c r="BG23" s="3" t="e">
        <f t="shared" si="49"/>
        <v>#DIV/0!</v>
      </c>
      <c r="BH23" s="3" t="e">
        <f t="shared" si="49"/>
        <v>#DIV/0!</v>
      </c>
      <c r="BI23" s="3" t="e">
        <f t="shared" si="49"/>
        <v>#DIV/0!</v>
      </c>
      <c r="BJ23" s="3" t="e">
        <f t="shared" si="49"/>
        <v>#DIV/0!</v>
      </c>
      <c r="BK23" s="3" t="e">
        <f t="shared" si="49"/>
        <v>#DIV/0!</v>
      </c>
      <c r="BL23" s="3" t="e">
        <f t="shared" si="49"/>
        <v>#DIV/0!</v>
      </c>
      <c r="BM23" s="3" t="e">
        <f t="shared" si="49"/>
        <v>#DIV/0!</v>
      </c>
      <c r="BN23" s="3" t="e">
        <f t="shared" si="49"/>
        <v>#DIV/0!</v>
      </c>
      <c r="BO23" s="3" t="e">
        <f t="shared" si="50"/>
        <v>#DIV/0!</v>
      </c>
      <c r="BP23" s="3" t="e">
        <f t="shared" si="50"/>
        <v>#DIV/0!</v>
      </c>
      <c r="BQ23" s="3" t="e">
        <f t="shared" si="50"/>
        <v>#DIV/0!</v>
      </c>
      <c r="BR23" s="3" t="e">
        <f t="shared" si="50"/>
        <v>#DIV/0!</v>
      </c>
      <c r="BS23" s="3" t="e">
        <f t="shared" si="50"/>
        <v>#DIV/0!</v>
      </c>
      <c r="BT23" s="3" t="e">
        <f t="shared" si="50"/>
        <v>#DIV/0!</v>
      </c>
      <c r="BU23" s="3" t="e">
        <f t="shared" si="50"/>
        <v>#DIV/0!</v>
      </c>
      <c r="BV23" s="3" t="e">
        <f t="shared" si="50"/>
        <v>#DIV/0!</v>
      </c>
      <c r="BW23" s="3" t="e">
        <f t="shared" si="50"/>
        <v>#DIV/0!</v>
      </c>
      <c r="BX23" s="3" t="e">
        <f t="shared" si="50"/>
        <v>#DIV/0!</v>
      </c>
      <c r="BY23" s="3" t="e">
        <f t="shared" si="51"/>
        <v>#DIV/0!</v>
      </c>
      <c r="BZ23" s="3" t="e">
        <f t="shared" si="51"/>
        <v>#DIV/0!</v>
      </c>
      <c r="CA23" s="3" t="e">
        <f t="shared" si="51"/>
        <v>#DIV/0!</v>
      </c>
      <c r="CB23" s="3" t="e">
        <f t="shared" si="51"/>
        <v>#DIV/0!</v>
      </c>
      <c r="CC23" s="3" t="e">
        <f t="shared" si="51"/>
        <v>#DIV/0!</v>
      </c>
      <c r="CD23" s="3" t="e">
        <f t="shared" si="51"/>
        <v>#DIV/0!</v>
      </c>
      <c r="CE23" s="3" t="e">
        <f t="shared" si="51"/>
        <v>#DIV/0!</v>
      </c>
      <c r="CF23" s="3" t="e">
        <f t="shared" si="51"/>
        <v>#DIV/0!</v>
      </c>
      <c r="CG23" s="3" t="e">
        <f t="shared" si="51"/>
        <v>#DIV/0!</v>
      </c>
      <c r="CH23" s="3" t="e">
        <f t="shared" si="51"/>
        <v>#DIV/0!</v>
      </c>
      <c r="CI23" s="3" t="e">
        <f t="shared" si="52"/>
        <v>#DIV/0!</v>
      </c>
      <c r="CJ23" s="3" t="e">
        <f t="shared" si="52"/>
        <v>#DIV/0!</v>
      </c>
      <c r="CK23" s="3" t="e">
        <f t="shared" si="52"/>
        <v>#DIV/0!</v>
      </c>
      <c r="CL23" s="3" t="e">
        <f t="shared" si="52"/>
        <v>#DIV/0!</v>
      </c>
      <c r="CM23" s="3" t="e">
        <f t="shared" si="52"/>
        <v>#DIV/0!</v>
      </c>
      <c r="CN23" s="3" t="e">
        <f t="shared" si="52"/>
        <v>#DIV/0!</v>
      </c>
      <c r="CO23" s="3" t="e">
        <f t="shared" si="52"/>
        <v>#DIV/0!</v>
      </c>
      <c r="CP23" s="3" t="e">
        <f t="shared" si="52"/>
        <v>#DIV/0!</v>
      </c>
      <c r="CQ23" s="3" t="e">
        <f t="shared" si="52"/>
        <v>#DIV/0!</v>
      </c>
      <c r="CR23" s="3" t="e">
        <f t="shared" si="52"/>
        <v>#DIV/0!</v>
      </c>
      <c r="CS23" s="3" t="e">
        <f t="shared" si="53"/>
        <v>#DIV/0!</v>
      </c>
      <c r="CT23" s="3" t="e">
        <f t="shared" si="53"/>
        <v>#DIV/0!</v>
      </c>
      <c r="CU23" s="3" t="e">
        <f t="shared" si="53"/>
        <v>#DIV/0!</v>
      </c>
      <c r="CV23" s="3" t="e">
        <f t="shared" si="53"/>
        <v>#DIV/0!</v>
      </c>
      <c r="CW23" s="3" t="e">
        <f t="shared" si="53"/>
        <v>#DIV/0!</v>
      </c>
      <c r="CX23" s="3" t="e">
        <f t="shared" si="53"/>
        <v>#DIV/0!</v>
      </c>
      <c r="CY23" s="3" t="e">
        <f t="shared" si="53"/>
        <v>#DIV/0!</v>
      </c>
      <c r="CZ23" s="3" t="e">
        <f t="shared" si="53"/>
        <v>#DIV/0!</v>
      </c>
      <c r="DA23" s="3" t="e">
        <f t="shared" si="53"/>
        <v>#DIV/0!</v>
      </c>
      <c r="DB23" s="3" t="e">
        <f t="shared" si="53"/>
        <v>#DIV/0!</v>
      </c>
      <c r="DC23" s="3" t="e">
        <f t="shared" si="54"/>
        <v>#DIV/0!</v>
      </c>
      <c r="DD23" s="3" t="e">
        <f t="shared" si="54"/>
        <v>#DIV/0!</v>
      </c>
      <c r="DE23" s="3" t="e">
        <f t="shared" si="54"/>
        <v>#DIV/0!</v>
      </c>
      <c r="DF23" s="3" t="e">
        <f t="shared" si="54"/>
        <v>#DIV/0!</v>
      </c>
      <c r="DG23" s="3" t="e">
        <f t="shared" si="54"/>
        <v>#DIV/0!</v>
      </c>
      <c r="DH23" s="3" t="e">
        <f t="shared" si="54"/>
        <v>#DIV/0!</v>
      </c>
      <c r="DI23" s="3" t="e">
        <f t="shared" si="54"/>
        <v>#DIV/0!</v>
      </c>
      <c r="DJ23" s="3" t="e">
        <f t="shared" si="54"/>
        <v>#DIV/0!</v>
      </c>
      <c r="DK23" s="3" t="e">
        <f t="shared" si="54"/>
        <v>#DIV/0!</v>
      </c>
      <c r="DL23" s="3" t="e">
        <f t="shared" si="54"/>
        <v>#DIV/0!</v>
      </c>
      <c r="DM23" s="3" t="e">
        <f t="shared" si="55"/>
        <v>#DIV/0!</v>
      </c>
      <c r="DN23" s="3" t="e">
        <f t="shared" si="55"/>
        <v>#DIV/0!</v>
      </c>
      <c r="DO23" s="3" t="e">
        <f t="shared" si="55"/>
        <v>#DIV/0!</v>
      </c>
      <c r="DP23" s="3" t="e">
        <f t="shared" si="55"/>
        <v>#DIV/0!</v>
      </c>
      <c r="DQ23" s="3" t="e">
        <f t="shared" si="55"/>
        <v>#DIV/0!</v>
      </c>
      <c r="DR23" s="3" t="e">
        <f t="shared" si="55"/>
        <v>#DIV/0!</v>
      </c>
      <c r="DS23" s="3" t="e">
        <f t="shared" si="55"/>
        <v>#DIV/0!</v>
      </c>
      <c r="DT23" s="3" t="e">
        <f t="shared" si="55"/>
        <v>#DIV/0!</v>
      </c>
      <c r="DU23" s="3" t="e">
        <f t="shared" si="55"/>
        <v>#DIV/0!</v>
      </c>
      <c r="DV23" s="3" t="e">
        <f t="shared" si="55"/>
        <v>#DIV/0!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Alyssa Screening</vt:lpstr>
      <vt:lpstr>Sources</vt:lpstr>
      <vt:lpstr>Mortgage and Ammortization</vt:lpstr>
      <vt:lpstr>Deal Screen Template</vt:lpstr>
      <vt:lpstr>Total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Jackson</dc:creator>
  <cp:lastModifiedBy>Jack Jackson</cp:lastModifiedBy>
  <dcterms:created xsi:type="dcterms:W3CDTF">2021-03-30T00:04:17Z</dcterms:created>
  <dcterms:modified xsi:type="dcterms:W3CDTF">2026-01-26T22:30:01Z</dcterms:modified>
</cp:coreProperties>
</file>